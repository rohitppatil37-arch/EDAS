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195"/>
  </bookViews>
  <sheets>
    <sheet name="Earthwork" sheetId="2" r:id="rId1"/>
  </sheets>
  <definedNames>
    <definedName name="_xlnm._FilterDatabase" localSheetId="0" hidden="1">Earthwork!$E$1:$E$314</definedName>
  </definedNames>
  <calcPr calcId="145621" iterate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1" i="2" l="1"/>
  <c r="R61" i="2" s="1"/>
  <c r="N60" i="2"/>
  <c r="R60" i="2" s="1"/>
  <c r="F40" i="2" l="1"/>
  <c r="H57" i="2"/>
  <c r="J57" i="2"/>
  <c r="L57" i="2"/>
  <c r="N54" i="2"/>
  <c r="R54" i="2" s="1"/>
  <c r="N53" i="2"/>
  <c r="R53" i="2" s="1"/>
  <c r="P76" i="2" l="1"/>
  <c r="O76" i="2"/>
  <c r="M76" i="2"/>
  <c r="L76" i="2"/>
  <c r="K76" i="2"/>
  <c r="J76" i="2"/>
  <c r="I76" i="2"/>
  <c r="H76" i="2"/>
  <c r="G76" i="2"/>
  <c r="F76" i="2"/>
  <c r="N75" i="2"/>
  <c r="R75" i="2" s="1"/>
  <c r="N74" i="2"/>
  <c r="R74" i="2" s="1"/>
  <c r="N73" i="2"/>
  <c r="R73" i="2" s="1"/>
  <c r="N72" i="2"/>
  <c r="R72" i="2" s="1"/>
  <c r="N71" i="2"/>
  <c r="R71" i="2" s="1"/>
  <c r="N70" i="2"/>
  <c r="R70" i="2" s="1"/>
  <c r="N69" i="2"/>
  <c r="R69" i="2" s="1"/>
  <c r="N68" i="2"/>
  <c r="R68" i="2" s="1"/>
  <c r="N67" i="2"/>
  <c r="R67" i="2" s="1"/>
  <c r="N66" i="2"/>
  <c r="R66" i="2" s="1"/>
  <c r="Q65" i="2"/>
  <c r="Q76" i="2" s="1"/>
  <c r="N65" i="2"/>
  <c r="R65" i="2" s="1"/>
  <c r="Q62" i="2"/>
  <c r="P62" i="2"/>
  <c r="O62" i="2"/>
  <c r="M62" i="2"/>
  <c r="L62" i="2"/>
  <c r="K62" i="2"/>
  <c r="J62" i="2"/>
  <c r="I62" i="2"/>
  <c r="H62" i="2"/>
  <c r="G62" i="2"/>
  <c r="F62" i="2"/>
  <c r="N59" i="2"/>
  <c r="F57" i="2"/>
  <c r="P56" i="2"/>
  <c r="N56" i="2"/>
  <c r="R56" i="2" s="1"/>
  <c r="K56" i="2"/>
  <c r="M56" i="2" s="1"/>
  <c r="G56" i="2"/>
  <c r="I56" i="2" s="1"/>
  <c r="P55" i="2"/>
  <c r="N55" i="2"/>
  <c r="R55" i="2" s="1"/>
  <c r="K55" i="2"/>
  <c r="G55" i="2"/>
  <c r="N52" i="2"/>
  <c r="R52" i="2" s="1"/>
  <c r="N51" i="2"/>
  <c r="R51" i="2" s="1"/>
  <c r="N50" i="2"/>
  <c r="R50" i="2" s="1"/>
  <c r="N49" i="2"/>
  <c r="R49" i="2" s="1"/>
  <c r="N48" i="2"/>
  <c r="L46" i="2"/>
  <c r="J46" i="2"/>
  <c r="H46" i="2"/>
  <c r="F46" i="2"/>
  <c r="P45" i="2"/>
  <c r="P46" i="2" s="1"/>
  <c r="N45" i="2"/>
  <c r="R45" i="2" s="1"/>
  <c r="K45" i="2"/>
  <c r="M45" i="2" s="1"/>
  <c r="M46" i="2" s="1"/>
  <c r="G45" i="2"/>
  <c r="G46" i="2" s="1"/>
  <c r="N44" i="2"/>
  <c r="N43" i="2"/>
  <c r="R43" i="2" s="1"/>
  <c r="N42" i="2"/>
  <c r="R42" i="2" s="1"/>
  <c r="L40" i="2"/>
  <c r="J40" i="2"/>
  <c r="H40" i="2"/>
  <c r="O39" i="2"/>
  <c r="Q39" i="2" s="1"/>
  <c r="N39" i="2"/>
  <c r="R39" i="2" s="1"/>
  <c r="M39" i="2"/>
  <c r="I39" i="2"/>
  <c r="P38" i="2"/>
  <c r="N38" i="2"/>
  <c r="R38" i="2" s="1"/>
  <c r="K38" i="2"/>
  <c r="G38" i="2"/>
  <c r="I38" i="2" s="1"/>
  <c r="P37" i="2"/>
  <c r="N37" i="2"/>
  <c r="R37" i="2" s="1"/>
  <c r="K37" i="2"/>
  <c r="G37" i="2"/>
  <c r="I37" i="2" s="1"/>
  <c r="P36" i="2"/>
  <c r="N36" i="2"/>
  <c r="R36" i="2" s="1"/>
  <c r="K36" i="2"/>
  <c r="M36" i="2" s="1"/>
  <c r="G36" i="2"/>
  <c r="P35" i="2"/>
  <c r="N35" i="2"/>
  <c r="R35" i="2" s="1"/>
  <c r="K35" i="2"/>
  <c r="M35" i="2" s="1"/>
  <c r="G35" i="2"/>
  <c r="I35" i="2" s="1"/>
  <c r="P34" i="2"/>
  <c r="N34" i="2"/>
  <c r="R34" i="2" s="1"/>
  <c r="K34" i="2"/>
  <c r="M34" i="2" s="1"/>
  <c r="G34" i="2"/>
  <c r="I34" i="2" s="1"/>
  <c r="P33" i="2"/>
  <c r="N33" i="2"/>
  <c r="R33" i="2" s="1"/>
  <c r="K33" i="2"/>
  <c r="M33" i="2" s="1"/>
  <c r="G33" i="2"/>
  <c r="N32" i="2"/>
  <c r="R32" i="2" s="1"/>
  <c r="N31" i="2"/>
  <c r="R31" i="2" s="1"/>
  <c r="N30" i="2"/>
  <c r="R30" i="2" s="1"/>
  <c r="N29" i="2"/>
  <c r="R29" i="2" s="1"/>
  <c r="N28" i="2"/>
  <c r="R28" i="2" s="1"/>
  <c r="N27" i="2"/>
  <c r="R27" i="2" s="1"/>
  <c r="N26" i="2"/>
  <c r="R26" i="2" s="1"/>
  <c r="N25" i="2"/>
  <c r="R25" i="2" s="1"/>
  <c r="N24" i="2"/>
  <c r="R24" i="2" s="1"/>
  <c r="N23" i="2"/>
  <c r="R23" i="2" s="1"/>
  <c r="N22" i="2"/>
  <c r="R22" i="2" s="1"/>
  <c r="N21" i="2"/>
  <c r="R21" i="2" s="1"/>
  <c r="N20" i="2"/>
  <c r="R20" i="2" s="1"/>
  <c r="N19" i="2"/>
  <c r="R19" i="2" s="1"/>
  <c r="N18" i="2"/>
  <c r="R18" i="2" s="1"/>
  <c r="N17" i="2"/>
  <c r="R17" i="2" s="1"/>
  <c r="N16" i="2"/>
  <c r="R16" i="2" s="1"/>
  <c r="N15" i="2"/>
  <c r="R15" i="2" s="1"/>
  <c r="N14" i="2"/>
  <c r="P57" i="2" l="1"/>
  <c r="N57" i="2"/>
  <c r="G57" i="2"/>
  <c r="M55" i="2"/>
  <c r="M57" i="2" s="1"/>
  <c r="K57" i="2"/>
  <c r="O45" i="2"/>
  <c r="O46" i="2" s="1"/>
  <c r="K46" i="2"/>
  <c r="I45" i="2"/>
  <c r="I46" i="2" s="1"/>
  <c r="P40" i="2"/>
  <c r="O55" i="2"/>
  <c r="O38" i="2"/>
  <c r="Q38" i="2" s="1"/>
  <c r="N62" i="2"/>
  <c r="I55" i="2"/>
  <c r="I57" i="2" s="1"/>
  <c r="O56" i="2"/>
  <c r="Q56" i="2" s="1"/>
  <c r="O34" i="2"/>
  <c r="Q34" i="2" s="1"/>
  <c r="N76" i="2"/>
  <c r="N46" i="2"/>
  <c r="O35" i="2"/>
  <c r="Q35" i="2" s="1"/>
  <c r="O36" i="2"/>
  <c r="Q36" i="2" s="1"/>
  <c r="O37" i="2"/>
  <c r="Q37" i="2" s="1"/>
  <c r="I36" i="2"/>
  <c r="G40" i="2"/>
  <c r="I33" i="2"/>
  <c r="N40" i="2"/>
  <c r="R76" i="2"/>
  <c r="R48" i="2"/>
  <c r="R57" i="2" s="1"/>
  <c r="R59" i="2"/>
  <c r="R62" i="2" s="1"/>
  <c r="M37" i="2"/>
  <c r="R44" i="2"/>
  <c r="R46" i="2" s="1"/>
  <c r="M38" i="2"/>
  <c r="K40" i="2"/>
  <c r="R14" i="2"/>
  <c r="R40" i="2" s="1"/>
  <c r="O33" i="2"/>
  <c r="Q55" i="2" l="1"/>
  <c r="Q57" i="2" s="1"/>
  <c r="T57" i="2" s="1"/>
  <c r="O57" i="2"/>
  <c r="Q45" i="2"/>
  <c r="Q46" i="2" s="1"/>
  <c r="I40" i="2"/>
  <c r="M40" i="2"/>
  <c r="O40" i="2"/>
  <c r="Q33" i="2"/>
  <c r="Q40" i="2" s="1"/>
  <c r="T40" i="2" l="1"/>
</calcChain>
</file>

<file path=xl/sharedStrings.xml><?xml version="1.0" encoding="utf-8"?>
<sst xmlns="http://schemas.openxmlformats.org/spreadsheetml/2006/main" count="107" uniqueCount="70">
  <si>
    <t xml:space="preserve">BEÚòhÉ </t>
  </si>
  <si>
    <t>महिंद्रा बोलेरो कॅम्पर एमएच 08 एफ 0344</t>
  </si>
  <si>
    <t>महिंद्रा बोलेरो पिकअप एमएच ११ एबी २७०</t>
  </si>
  <si>
    <t xml:space="preserve">  ={É +Ê¦ÉªÉÆiÉÉ</t>
  </si>
  <si>
    <t>ªÉÉÆÊjÉEòÒ ={ÉÊ´É¦ÉÉMÉ Gò.1,</t>
  </si>
  <si>
    <t xml:space="preserve"> +±ÉÉä®äú</t>
  </si>
  <si>
    <t>18.11.2025</t>
  </si>
  <si>
    <t>30.04.2026</t>
  </si>
  <si>
    <t>जगबुडी नदी ता.खेड जि.रत्नागिरी येथील गाळ व बेटे काढणे</t>
  </si>
  <si>
    <t>26.11.2025</t>
  </si>
  <si>
    <t>70</t>
  </si>
  <si>
    <t>गड नदीतील गाळ काढणे, दरिस्ते, ता. कणकवली</t>
  </si>
  <si>
    <t>कार्यालयीन कामे</t>
  </si>
  <si>
    <t>महिंद्रा ब्लाझो एम एच ०८ ए पी ४८३४</t>
  </si>
  <si>
    <t>महिंद्रा ब्लाझो एम एच ०८ ए पी ४८३८</t>
  </si>
  <si>
    <t>महिंद्रा ब्लाझो एम एच ०८ ए पी ४८४३</t>
  </si>
  <si>
    <t>महिंद्रा ब्लाझो एम एच ०८ ए पी ४८४५</t>
  </si>
  <si>
    <t>महिंद्रा ब्लाझो एम एच ०८ ए पी ४८३९</t>
  </si>
  <si>
    <t>आयशर प्रो एम एच ३९ एडी ०५१८</t>
  </si>
  <si>
    <t>आयशर प्रो एम एच ३९ एडी ०५२२</t>
  </si>
  <si>
    <t>कामाचे तास/किमी</t>
  </si>
  <si>
    <t>मातीकाम</t>
  </si>
  <si>
    <t>(स. घ. मी.)</t>
  </si>
  <si>
    <t>खडक खोदाई</t>
  </si>
  <si>
    <t>एकूण</t>
  </si>
  <si>
    <t xml:space="preserve">01.07.2025 पासून मागील सप्ताहाअ्खेर एकत्रित प्रगती </t>
  </si>
  <si>
    <t xml:space="preserve">प्रकल्पावर कार्यरत यंत्रसामुग्रीचा तपशील </t>
  </si>
  <si>
    <t xml:space="preserve">चालू सप्ताहातील प्रगती </t>
  </si>
  <si>
    <t xml:space="preserve">01.07.2025 पासून चालू सप्ताहाअखेर एकूण प्रगती </t>
  </si>
  <si>
    <t>चालू सप्ताहाअखेर यंत्रसामुग्री वापर दरानुसार कामावर झालेल्या एकत्रित खर्चाची (डेबीट मेमॊ)रक्कम</t>
  </si>
  <si>
    <t>यंत्रसामुग्री वापर दर</t>
  </si>
  <si>
    <t xml:space="preserve">मातीकामाचा सरासरी दर </t>
  </si>
  <si>
    <t xml:space="preserve">शेरा </t>
  </si>
  <si>
    <t>(रुपये/घमी)</t>
  </si>
  <si>
    <t>(रुपये)</t>
  </si>
  <si>
    <t>हंगामामध्ये काम सुरु झाल्याचे दिनांक</t>
  </si>
  <si>
    <t>प्रकल्पाचे नाव</t>
  </si>
  <si>
    <t>अ. क्र.</t>
  </si>
  <si>
    <t xml:space="preserve"> +) |ÉEò±{É ¨ÉÉiÉÒEòÉ¨ÉÉSÉÉ ºÉÉ{iÉÉÊ½þEò |ÉMÉiÉÒ +½þ´ÉÉ±É                                          कालावधी - 01/06/2026 ते 07/06/2026</t>
  </si>
  <si>
    <t>मा. कार्यकारी अभियंता, यांत्रिकी विभाग (को. प्र), अलोरे</t>
  </si>
  <si>
    <t>वाशिष्ठि नदीतील गाळ काढणे ता. चिपळूण (टप्पा-१)</t>
  </si>
  <si>
    <t>महिंद्रा ट्रॅको एम. एच. ०८ जी ०२१४</t>
  </si>
  <si>
    <t>महिंद्रा ट्रक्सो एम. एच. ०८ जी ०२२५</t>
  </si>
  <si>
    <t>टाटा झे्नान यो्द्धा क्र. एम.एच. ०८ ए पी १२४४</t>
  </si>
  <si>
    <t xml:space="preserve"> महिंद्रा बोलेरो कॅम्पर एमएच ०८ एफ ०३४४</t>
  </si>
  <si>
    <t>महिंद्रा ब्लाझो टिप्पर क्र. एमएच ०८ एपी ४८३१</t>
  </si>
  <si>
    <t>महिंद्रा ब्लाझो टिप्पर क्र. एमएच ०८ एपी ४८३२</t>
  </si>
  <si>
    <t>महिंद्रा ब्लाझो टिप्पर क्र. एमएच ०८ एपी ४८३५</t>
  </si>
  <si>
    <t>महिंद्रा ब्लाझो टिप्पर क्र. एमएच ०८ एपी ४८३६</t>
  </si>
  <si>
    <t>महिंद्रा ब्लाझो टिप्पर क्र. एमएच ०८ एपी ४८३७</t>
  </si>
  <si>
    <t>महिंद्रा ब्लाझो टिप्पर क्र. एमएच ०८ एपी ४८३८</t>
  </si>
  <si>
    <t>महिंद्रा ब्लाझो टिप्पर क्र. एमएच ०८ एपी ४८३९</t>
  </si>
  <si>
    <t>महिंद्रा ब्लाझो टिप्पर क्र. एमएच ०८ एपी ४८४०</t>
  </si>
  <si>
    <t>महिंद्रा ब्लाझो टिप्पर क्र. एमएच ०८ एपी ४८४१</t>
  </si>
  <si>
    <t>महिंद्रा ब्लाझो टिप्पर क्र. एमएच ०८ एपी ४८४३</t>
  </si>
  <si>
    <t>महिंद्रा ब्लाझो टिप्पर क्र. एमएच ०८ एपी ४८४४</t>
  </si>
  <si>
    <t>महिंद्रा ब्लाझो टिप्पर क्र. एमएच ०८ एपी ४८४५</t>
  </si>
  <si>
    <t>महिंद्रा ब्लाझो टिप्पर क्र. एमएच ०८ एपी ४८६८</t>
  </si>
  <si>
    <t>आयशर प्रो एम एच ३९ ए डी ०५२०</t>
  </si>
  <si>
    <t>जेसीबी एन एक्स टी २०५ क्र. ७७६</t>
  </si>
  <si>
    <t>जेसीबी एन एक्स टी २०५ क्र. ७७७</t>
  </si>
  <si>
    <t>जेसीबी एन एक्स टी २०५ क्र. ७७८</t>
  </si>
  <si>
    <t>जेसीबी एन एक्स टी २०५ क्र. ७७९</t>
  </si>
  <si>
    <t>जेसीबी एन एक्स टी २०५ क्र. ७८१</t>
  </si>
  <si>
    <t>सॅनी एस वाय ३५० क्र. ६२८</t>
  </si>
  <si>
    <t>शांतुई डोझर एस डी १६ क्र. १०८९६८</t>
  </si>
  <si>
    <t>वाशिष्ठि नदीतील गाळ काढणे ता. चिपळूण (टप्पा-२)</t>
  </si>
  <si>
    <t>यांत्रिकी उपविभाग क्र. १ अलोरे</t>
  </si>
  <si>
    <t>महिंद्रा ब्लाझो टिप्पर क्र. एमएच ०८ एपी ४८३४</t>
  </si>
  <si>
    <t>जेसीबी एन एक्स टी २०५ क्र. ७८०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</si>
</sst>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00439]0"/>
    <numFmt numFmtId="165" formatCode="0.000"/>
    <numFmt numFmtId="166" formatCode="&quot;₹&quot;\ #,##0.00"/>
  </numFmts>
  <fonts count="28" x14ac:knownFonts="1">
    <font>
      <sz val="11"/>
      <color rgb="FF000000"/>
      <name val="Calibri"/>
      <scheme val="minor"/>
    </font>
    <font>
      <b/>
      <sz val="22"/>
      <name val="DV-TTSurekh"/>
      <family val="5"/>
    </font>
    <font>
      <sz val="11"/>
      <name val="Calibri"/>
      <family val="2"/>
    </font>
    <font>
      <sz val="16"/>
      <name val="DV-TTSurekh"/>
      <family val="5"/>
    </font>
    <font>
      <sz val="22"/>
      <name val="DV-TTSurekh"/>
      <family val="5"/>
    </font>
    <font>
      <sz val="16"/>
      <name val="DVOT-SurekhMR"/>
    </font>
    <font>
      <sz val="12"/>
      <name val="DVOT-SurekhMR"/>
    </font>
    <font>
      <b/>
      <sz val="26"/>
      <name val="DV-TTSurekh"/>
      <family val="5"/>
    </font>
    <font>
      <b/>
      <u/>
      <sz val="26"/>
      <name val="DV-TTSurekh"/>
      <family val="5"/>
    </font>
    <font>
      <b/>
      <u/>
      <sz val="26"/>
      <name val="DV-TTSurekh"/>
      <family val="5"/>
    </font>
    <font>
      <sz val="11"/>
      <name val="Calibri"/>
      <family val="2"/>
    </font>
    <font>
      <sz val="26"/>
      <name val="DV-TTSurekh"/>
      <family val="5"/>
    </font>
    <font>
      <sz val="18"/>
      <name val="DVOT-SurekhMR"/>
    </font>
    <font>
      <sz val="18"/>
      <name val="DV-TTSurekh"/>
      <family val="5"/>
    </font>
    <font>
      <sz val="20"/>
      <name val="DV-TTSurekh"/>
      <family val="5"/>
    </font>
    <font>
      <sz val="18"/>
      <name val="DVOT-Surekh"/>
    </font>
    <font>
      <b/>
      <sz val="28"/>
      <name val="DV-TTSurekh"/>
      <family val="5"/>
    </font>
    <font>
      <b/>
      <u/>
      <sz val="26"/>
      <name val="DV-TTSurekh"/>
      <family val="5"/>
    </font>
    <font>
      <i/>
      <sz val="26"/>
      <name val="DV-TTSurekh"/>
      <family val="5"/>
    </font>
    <font>
      <b/>
      <sz val="26"/>
      <color rgb="FFFF0000"/>
      <name val="DV-TTSurekh"/>
      <family val="5"/>
    </font>
    <font>
      <b/>
      <u/>
      <sz val="26"/>
      <name val="DV-TTSurekh"/>
      <family val="5"/>
    </font>
    <font>
      <b/>
      <u/>
      <sz val="26"/>
      <name val="DV-TTSurekh"/>
      <family val="5"/>
    </font>
    <font>
      <sz val="11"/>
      <color rgb="FF000000"/>
      <name val="Calibri"/>
      <family val="2"/>
    </font>
    <font>
      <sz val="26"/>
      <name val="DV-TTSurekh"/>
      <family val="5"/>
    </font>
    <font>
      <sz val="26"/>
      <name val="Calibri"/>
      <family val="2"/>
    </font>
    <font>
      <sz val="20"/>
      <name val="DVOT-Surekh"/>
    </font>
    <font>
      <sz val="20"/>
      <color rgb="FF000000"/>
      <name val="DVOT-Surekh"/>
    </font>
    <font>
      <u/>
      <sz val="20"/>
      <name val="DVOT-Surekh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4" fillId="0" borderId="8" xfId="0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horizontal="center" vertical="top"/>
    </xf>
    <xf numFmtId="0" fontId="7" fillId="0" borderId="8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right" vertical="top"/>
    </xf>
    <xf numFmtId="0" fontId="7" fillId="0" borderId="8" xfId="0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vertical="center"/>
    </xf>
    <xf numFmtId="0" fontId="12" fillId="0" borderId="8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top" wrapText="1"/>
    </xf>
    <xf numFmtId="164" fontId="11" fillId="0" borderId="8" xfId="0" applyNumberFormat="1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11" fillId="0" borderId="7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7" fillId="0" borderId="13" xfId="0" applyFont="1" applyBorder="1" applyAlignment="1">
      <alignment horizontal="right" vertical="top"/>
    </xf>
    <xf numFmtId="0" fontId="7" fillId="0" borderId="8" xfId="0" applyFont="1" applyBorder="1" applyAlignment="1">
      <alignment horizontal="center"/>
    </xf>
    <xf numFmtId="166" fontId="7" fillId="0" borderId="8" xfId="0" applyNumberFormat="1" applyFont="1" applyBorder="1" applyAlignment="1">
      <alignment vertical="center"/>
    </xf>
    <xf numFmtId="0" fontId="10" fillId="0" borderId="6" xfId="0" applyFont="1" applyBorder="1"/>
    <xf numFmtId="0" fontId="7" fillId="0" borderId="6" xfId="0" applyFont="1" applyBorder="1" applyAlignment="1">
      <alignment horizontal="center"/>
    </xf>
    <xf numFmtId="2" fontId="7" fillId="0" borderId="6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20" xfId="0" applyFont="1" applyBorder="1" applyAlignment="1">
      <alignment horizontal="right" vertical="top"/>
    </xf>
    <xf numFmtId="0" fontId="10" fillId="0" borderId="20" xfId="0" applyFont="1" applyBorder="1"/>
    <xf numFmtId="0" fontId="7" fillId="0" borderId="20" xfId="0" applyFont="1" applyBorder="1" applyAlignment="1">
      <alignment horizontal="center"/>
    </xf>
    <xf numFmtId="2" fontId="7" fillId="0" borderId="20" xfId="0" applyNumberFormat="1" applyFont="1" applyBorder="1" applyAlignment="1">
      <alignment horizontal="center" vertical="center"/>
    </xf>
    <xf numFmtId="166" fontId="7" fillId="0" borderId="20" xfId="0" applyNumberFormat="1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8" xfId="0" applyFont="1" applyBorder="1" applyAlignment="1">
      <alignment horizontal="right" vertical="center"/>
    </xf>
    <xf numFmtId="0" fontId="14" fillId="0" borderId="8" xfId="0" applyFont="1" applyBorder="1" applyAlignment="1">
      <alignment horizontal="left" vertical="center" wrapText="1"/>
    </xf>
    <xf numFmtId="164" fontId="7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right" vertical="top"/>
    </xf>
    <xf numFmtId="2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0" fontId="7" fillId="0" borderId="2" xfId="0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12" fillId="0" borderId="8" xfId="0" applyFont="1" applyBorder="1" applyAlignment="1">
      <alignment vertical="center"/>
    </xf>
    <xf numFmtId="0" fontId="7" fillId="0" borderId="7" xfId="0" applyFont="1" applyBorder="1" applyAlignment="1">
      <alignment horizontal="right" vertical="top"/>
    </xf>
    <xf numFmtId="0" fontId="7" fillId="0" borderId="5" xfId="0" applyFont="1" applyBorder="1" applyAlignment="1">
      <alignment vertical="center"/>
    </xf>
    <xf numFmtId="164" fontId="1" fillId="0" borderId="8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13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1" fontId="7" fillId="0" borderId="0" xfId="0" applyNumberFormat="1" applyFont="1"/>
    <xf numFmtId="0" fontId="7" fillId="0" borderId="0" xfId="0" applyFont="1" applyAlignment="1">
      <alignment horizontal="right" vertical="center"/>
    </xf>
    <xf numFmtId="165" fontId="7" fillId="0" borderId="0" xfId="0" applyNumberFormat="1" applyFont="1" applyAlignment="1">
      <alignment horizontal="center" vertical="center"/>
    </xf>
    <xf numFmtId="0" fontId="19" fillId="0" borderId="0" xfId="0" applyFont="1"/>
    <xf numFmtId="2" fontId="7" fillId="0" borderId="0" xfId="0" applyNumberFormat="1" applyFont="1"/>
    <xf numFmtId="0" fontId="20" fillId="0" borderId="0" xfId="0" applyFont="1"/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/>
    </xf>
    <xf numFmtId="0" fontId="18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/>
    </xf>
    <xf numFmtId="164" fontId="11" fillId="2" borderId="8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 vertical="center" wrapText="1"/>
    </xf>
    <xf numFmtId="164" fontId="16" fillId="2" borderId="8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1" fontId="7" fillId="2" borderId="1" xfId="0" applyNumberFormat="1" applyFont="1" applyFill="1" applyBorder="1"/>
    <xf numFmtId="0" fontId="7" fillId="2" borderId="1" xfId="0" applyFont="1" applyFill="1" applyBorder="1"/>
    <xf numFmtId="2" fontId="9" fillId="2" borderId="1" xfId="0" applyNumberFormat="1" applyFont="1" applyFill="1" applyBorder="1" applyAlignment="1">
      <alignment horizontal="center"/>
    </xf>
    <xf numFmtId="2" fontId="7" fillId="2" borderId="1" xfId="0" applyNumberFormat="1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0" fillId="2" borderId="0" xfId="0" applyFill="1"/>
    <xf numFmtId="0" fontId="7" fillId="0" borderId="15" xfId="0" applyFont="1" applyBorder="1" applyAlignment="1">
      <alignment horizontal="right" vertical="center"/>
    </xf>
    <xf numFmtId="0" fontId="0" fillId="0" borderId="0" xfId="0"/>
    <xf numFmtId="2" fontId="7" fillId="0" borderId="0" xfId="0" applyNumberFormat="1" applyFont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0" xfId="0"/>
    <xf numFmtId="0" fontId="2" fillId="0" borderId="9" xfId="0" applyFont="1" applyBorder="1"/>
    <xf numFmtId="0" fontId="2" fillId="0" borderId="13" xfId="0" applyFont="1" applyBorder="1"/>
    <xf numFmtId="0" fontId="2" fillId="0" borderId="14" xfId="0" applyFont="1" applyBorder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5" xfId="0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15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top"/>
    </xf>
    <xf numFmtId="0" fontId="2" fillId="0" borderId="20" xfId="0" applyFont="1" applyBorder="1"/>
    <xf numFmtId="0" fontId="7" fillId="0" borderId="5" xfId="0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0" fontId="24" fillId="0" borderId="3" xfId="0" applyFont="1" applyBorder="1"/>
    <xf numFmtId="0" fontId="24" fillId="0" borderId="9" xfId="0" applyFont="1" applyBorder="1"/>
    <xf numFmtId="0" fontId="24" fillId="0" borderId="10" xfId="0" applyFont="1" applyBorder="1"/>
    <xf numFmtId="0" fontId="24" fillId="0" borderId="13" xfId="0" applyFont="1" applyBorder="1"/>
    <xf numFmtId="0" fontId="24" fillId="0" borderId="14" xfId="0" applyFont="1" applyBorder="1"/>
    <xf numFmtId="0" fontId="2" fillId="0" borderId="17" xfId="0" applyFont="1" applyBorder="1"/>
    <xf numFmtId="164" fontId="11" fillId="0" borderId="2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top" wrapText="1"/>
    </xf>
    <xf numFmtId="0" fontId="25" fillId="0" borderId="12" xfId="0" applyFont="1" applyBorder="1"/>
    <xf numFmtId="0" fontId="11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5" fillId="0" borderId="0" xfId="0" applyFont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top"/>
    </xf>
    <xf numFmtId="0" fontId="25" fillId="0" borderId="8" xfId="0" applyFont="1" applyBorder="1" applyAlignment="1">
      <alignment vertical="top"/>
    </xf>
    <xf numFmtId="0" fontId="25" fillId="0" borderId="4" xfId="0" applyFont="1" applyBorder="1" applyAlignment="1">
      <alignment horizontal="center" vertical="top" wrapText="1"/>
    </xf>
    <xf numFmtId="0" fontId="25" fillId="0" borderId="2" xfId="0" applyFont="1" applyBorder="1" applyAlignment="1">
      <alignment horizontal="center" vertical="top" wrapText="1"/>
    </xf>
    <xf numFmtId="0" fontId="25" fillId="0" borderId="19" xfId="0" applyFont="1" applyBorder="1"/>
    <xf numFmtId="0" fontId="25" fillId="0" borderId="3" xfId="0" applyFont="1" applyBorder="1"/>
    <xf numFmtId="0" fontId="25" fillId="0" borderId="2" xfId="0" applyFont="1" applyBorder="1" applyAlignment="1">
      <alignment horizontal="center" vertical="top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11" xfId="0" applyFont="1" applyBorder="1"/>
    <xf numFmtId="0" fontId="25" fillId="0" borderId="9" xfId="0" applyFont="1" applyBorder="1"/>
    <xf numFmtId="0" fontId="25" fillId="0" borderId="10" xfId="0" applyFont="1" applyBorder="1"/>
    <xf numFmtId="0" fontId="25" fillId="0" borderId="13" xfId="0" applyFont="1" applyBorder="1"/>
    <xf numFmtId="0" fontId="25" fillId="0" borderId="20" xfId="0" applyFont="1" applyBorder="1"/>
    <xf numFmtId="0" fontId="25" fillId="0" borderId="14" xfId="0" applyFont="1" applyBorder="1"/>
    <xf numFmtId="0" fontId="25" fillId="0" borderId="0" xfId="0" applyFont="1" applyAlignment="1">
      <alignment vertical="center"/>
    </xf>
    <xf numFmtId="0" fontId="25" fillId="0" borderId="8" xfId="0" applyFont="1" applyBorder="1" applyAlignment="1">
      <alignment horizontal="center" vertical="top"/>
    </xf>
    <xf numFmtId="0" fontId="25" fillId="0" borderId="8" xfId="0" applyFont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26" fillId="0" borderId="8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center" vertical="top" wrapText="1"/>
    </xf>
    <xf numFmtId="0" fontId="25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I314"/>
  <sheetViews>
    <sheetView tabSelected="1" zoomScale="40" zoomScaleNormal="40" workbookViewId="0">
      <pane xSplit="4" ySplit="1" topLeftCell="E35" activePane="bottomRight" state="frozen"/>
      <selection pane="topRight" activeCell="E1" sqref="E1"/>
      <selection pane="bottomLeft" activeCell="A2" sqref="A2"/>
      <selection pane="bottomRight" activeCell="E94" sqref="E94"/>
    </sheetView>
  </sheetViews>
  <sheetFormatPr defaultColWidth="14.42578125" defaultRowHeight="15" customHeight="1" x14ac:dyDescent="0.25"/>
  <cols>
    <col min="1" max="1" width="13.7109375" customWidth="1"/>
    <col min="2" max="2" width="2" hidden="1" customWidth="1"/>
    <col min="3" max="3" width="71.5703125" customWidth="1"/>
    <col min="4" max="4" width="32.85546875" customWidth="1"/>
    <col min="5" max="5" width="106.85546875" customWidth="1"/>
    <col min="6" max="6" width="23" customWidth="1"/>
    <col min="7" max="7" width="23.7109375" customWidth="1"/>
    <col min="8" max="8" width="22.28515625" customWidth="1"/>
    <col min="9" max="9" width="22" customWidth="1"/>
    <col min="10" max="10" width="17.7109375" style="104" customWidth="1"/>
    <col min="11" max="11" width="26" customWidth="1"/>
    <col min="12" max="12" width="22.28515625" customWidth="1"/>
    <col min="13" max="13" width="23.7109375" customWidth="1"/>
    <col min="14" max="14" width="20.140625" customWidth="1"/>
    <col min="15" max="15" width="23.28515625" customWidth="1"/>
    <col min="16" max="16" width="20.85546875" customWidth="1"/>
    <col min="17" max="17" width="28.5703125" customWidth="1"/>
    <col min="18" max="18" width="41" customWidth="1"/>
    <col min="19" max="19" width="24.5703125" customWidth="1"/>
    <col min="20" max="20" width="31.42578125" customWidth="1"/>
    <col min="21" max="21" width="42.42578125" customWidth="1"/>
    <col min="22" max="35" width="17.7109375" customWidth="1"/>
  </cols>
  <sheetData>
    <row r="1" spans="1:35" ht="39" customHeight="1" x14ac:dyDescent="0.55000000000000004">
      <c r="A1" s="149" t="s">
        <v>38</v>
      </c>
      <c r="B1" s="149"/>
      <c r="C1" s="149"/>
      <c r="D1" s="149"/>
      <c r="E1" s="149"/>
      <c r="F1" s="149"/>
      <c r="G1" s="149"/>
      <c r="H1" s="149"/>
      <c r="I1" s="149"/>
      <c r="J1" s="150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ht="9.75" customHeight="1" x14ac:dyDescent="0.65">
      <c r="A2" s="151"/>
      <c r="B2" s="151"/>
      <c r="C2" s="151"/>
      <c r="D2" s="151"/>
      <c r="E2" s="151"/>
      <c r="F2" s="151"/>
      <c r="G2" s="151"/>
      <c r="H2" s="151"/>
      <c r="I2" s="151"/>
      <c r="J2" s="152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27" customHeight="1" x14ac:dyDescent="0.65">
      <c r="A3" s="153" t="s">
        <v>39</v>
      </c>
      <c r="B3" s="154"/>
      <c r="C3" s="154"/>
      <c r="D3" s="154"/>
      <c r="E3" s="154"/>
      <c r="F3" s="151"/>
      <c r="G3" s="151"/>
      <c r="H3" s="151"/>
      <c r="I3" s="151"/>
      <c r="J3" s="152"/>
      <c r="K3" s="151"/>
      <c r="L3" s="151"/>
      <c r="M3" s="151"/>
      <c r="N3" s="151"/>
      <c r="O3" s="151" t="s">
        <v>67</v>
      </c>
      <c r="P3" s="151"/>
      <c r="Q3" s="151"/>
      <c r="R3" s="151"/>
      <c r="S3" s="151"/>
      <c r="T3" s="151"/>
      <c r="U3" s="15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ht="46.5" customHeight="1" x14ac:dyDescent="0.55000000000000004">
      <c r="A4" s="155"/>
      <c r="B4" s="155"/>
      <c r="C4" s="155"/>
      <c r="D4" s="155"/>
      <c r="E4" s="155"/>
      <c r="F4" s="155"/>
      <c r="G4" s="155"/>
      <c r="H4" s="155"/>
      <c r="I4" s="155"/>
      <c r="J4" s="156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30.75" customHeight="1" x14ac:dyDescent="0.55000000000000004">
      <c r="A5" s="155"/>
      <c r="B5" s="155"/>
      <c r="C5" s="155"/>
      <c r="D5" s="155"/>
      <c r="E5" s="155"/>
      <c r="F5" s="155"/>
      <c r="G5" s="155"/>
      <c r="H5" s="155"/>
      <c r="I5" s="155"/>
      <c r="J5" s="156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5" ht="15.75" customHeight="1" x14ac:dyDescent="0.65">
      <c r="A6" s="151"/>
      <c r="B6" s="151"/>
      <c r="C6" s="151"/>
      <c r="D6" s="151"/>
      <c r="E6" s="151"/>
      <c r="F6" s="151"/>
      <c r="G6" s="151"/>
      <c r="H6" s="151"/>
      <c r="I6" s="151"/>
      <c r="J6" s="152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9"/>
      <c r="W6" s="139"/>
      <c r="X6" s="112"/>
      <c r="Y6" s="112"/>
      <c r="Z6" s="112"/>
      <c r="AA6" s="9"/>
      <c r="AB6" s="9"/>
      <c r="AC6" s="9"/>
      <c r="AD6" s="9"/>
      <c r="AE6" s="9"/>
      <c r="AF6" s="9"/>
      <c r="AG6" s="9"/>
      <c r="AH6" s="9"/>
      <c r="AI6" s="9"/>
    </row>
    <row r="7" spans="1:35" ht="128.25" customHeight="1" x14ac:dyDescent="0.55000000000000004">
      <c r="A7" s="157" t="s">
        <v>37</v>
      </c>
      <c r="B7" s="158"/>
      <c r="C7" s="159" t="s">
        <v>36</v>
      </c>
      <c r="D7" s="159" t="s">
        <v>35</v>
      </c>
      <c r="E7" s="159" t="s">
        <v>26</v>
      </c>
      <c r="F7" s="160" t="s">
        <v>25</v>
      </c>
      <c r="G7" s="161"/>
      <c r="H7" s="161"/>
      <c r="I7" s="162"/>
      <c r="J7" s="163" t="s">
        <v>27</v>
      </c>
      <c r="K7" s="161"/>
      <c r="L7" s="161"/>
      <c r="M7" s="162"/>
      <c r="N7" s="164" t="s">
        <v>28</v>
      </c>
      <c r="O7" s="161"/>
      <c r="P7" s="161"/>
      <c r="Q7" s="162"/>
      <c r="R7" s="165" t="s">
        <v>29</v>
      </c>
      <c r="S7" s="159" t="s">
        <v>30</v>
      </c>
      <c r="T7" s="159" t="s">
        <v>31</v>
      </c>
      <c r="U7" s="159" t="s">
        <v>32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 ht="25.5" customHeight="1" x14ac:dyDescent="0.55000000000000004">
      <c r="A8" s="166"/>
      <c r="B8" s="158"/>
      <c r="C8" s="166"/>
      <c r="D8" s="166"/>
      <c r="E8" s="166"/>
      <c r="F8" s="167"/>
      <c r="G8" s="154"/>
      <c r="H8" s="154"/>
      <c r="I8" s="168"/>
      <c r="J8" s="167"/>
      <c r="K8" s="154"/>
      <c r="L8" s="154"/>
      <c r="M8" s="168"/>
      <c r="N8" s="167"/>
      <c r="O8" s="154"/>
      <c r="P8" s="154"/>
      <c r="Q8" s="168"/>
      <c r="R8" s="166"/>
      <c r="S8" s="145"/>
      <c r="T8" s="166"/>
      <c r="U8" s="166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 ht="26.25" customHeight="1" x14ac:dyDescent="0.55000000000000004">
      <c r="A9" s="145"/>
      <c r="B9" s="158"/>
      <c r="C9" s="145"/>
      <c r="D9" s="145"/>
      <c r="E9" s="145"/>
      <c r="F9" s="167"/>
      <c r="G9" s="154"/>
      <c r="H9" s="154"/>
      <c r="I9" s="168"/>
      <c r="J9" s="167"/>
      <c r="K9" s="154"/>
      <c r="L9" s="154"/>
      <c r="M9" s="168"/>
      <c r="N9" s="169"/>
      <c r="O9" s="170"/>
      <c r="P9" s="170"/>
      <c r="Q9" s="171"/>
      <c r="R9" s="166"/>
      <c r="S9" s="172"/>
      <c r="T9" s="166"/>
      <c r="U9" s="166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35" ht="33.75" customHeight="1" x14ac:dyDescent="0.55000000000000004">
      <c r="A10" s="157">
        <v>1</v>
      </c>
      <c r="B10" s="173"/>
      <c r="C10" s="159">
        <v>2</v>
      </c>
      <c r="D10" s="159">
        <v>3</v>
      </c>
      <c r="E10" s="159">
        <v>4</v>
      </c>
      <c r="F10" s="174">
        <v>5</v>
      </c>
      <c r="G10" s="174">
        <v>6</v>
      </c>
      <c r="H10" s="174">
        <v>7</v>
      </c>
      <c r="I10" s="174">
        <v>9</v>
      </c>
      <c r="J10" s="175">
        <v>10</v>
      </c>
      <c r="K10" s="174">
        <v>11</v>
      </c>
      <c r="L10" s="174">
        <v>12</v>
      </c>
      <c r="M10" s="174">
        <v>14</v>
      </c>
      <c r="N10" s="174">
        <v>15</v>
      </c>
      <c r="O10" s="174">
        <v>16</v>
      </c>
      <c r="P10" s="174">
        <v>17</v>
      </c>
      <c r="Q10" s="174">
        <v>19</v>
      </c>
      <c r="R10" s="174">
        <v>20</v>
      </c>
      <c r="S10" s="174">
        <v>21</v>
      </c>
      <c r="T10" s="174">
        <v>22</v>
      </c>
      <c r="U10" s="174">
        <v>23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35" ht="33.75" customHeight="1" x14ac:dyDescent="0.55000000000000004">
      <c r="A11" s="166"/>
      <c r="B11" s="158"/>
      <c r="C11" s="166"/>
      <c r="D11" s="166"/>
      <c r="E11" s="166"/>
      <c r="F11" s="144" t="s">
        <v>20</v>
      </c>
      <c r="G11" s="176" t="s">
        <v>21</v>
      </c>
      <c r="H11" s="176" t="s">
        <v>23</v>
      </c>
      <c r="I11" s="176" t="s">
        <v>24</v>
      </c>
      <c r="J11" s="144" t="s">
        <v>20</v>
      </c>
      <c r="K11" s="176" t="s">
        <v>21</v>
      </c>
      <c r="L11" s="176" t="s">
        <v>23</v>
      </c>
      <c r="M11" s="176" t="s">
        <v>24</v>
      </c>
      <c r="N11" s="144" t="s">
        <v>20</v>
      </c>
      <c r="O11" s="176" t="s">
        <v>21</v>
      </c>
      <c r="P11" s="176" t="s">
        <v>23</v>
      </c>
      <c r="Q11" s="176" t="s">
        <v>24</v>
      </c>
      <c r="R11" s="174"/>
      <c r="S11" s="174"/>
      <c r="T11" s="174"/>
      <c r="U11" s="177"/>
      <c r="V11" s="8"/>
      <c r="W11" s="8"/>
      <c r="X11" s="11"/>
      <c r="Y11" s="11"/>
      <c r="Z11" s="11"/>
      <c r="AA11" s="9"/>
      <c r="AB11" s="9"/>
      <c r="AC11" s="9"/>
      <c r="AD11" s="9"/>
      <c r="AE11" s="9"/>
      <c r="AF11" s="9"/>
      <c r="AG11" s="9"/>
      <c r="AH11" s="9"/>
      <c r="AI11" s="9"/>
    </row>
    <row r="12" spans="1:35" ht="33.75" customHeight="1" x14ac:dyDescent="0.55000000000000004">
      <c r="A12" s="145"/>
      <c r="B12" s="158"/>
      <c r="C12" s="145"/>
      <c r="D12" s="145"/>
      <c r="E12" s="145"/>
      <c r="F12" s="145"/>
      <c r="G12" s="176" t="s">
        <v>22</v>
      </c>
      <c r="H12" s="176" t="s">
        <v>22</v>
      </c>
      <c r="I12" s="176" t="s">
        <v>22</v>
      </c>
      <c r="J12" s="145"/>
      <c r="K12" s="176" t="s">
        <v>22</v>
      </c>
      <c r="L12" s="176" t="s">
        <v>22</v>
      </c>
      <c r="M12" s="176" t="s">
        <v>22</v>
      </c>
      <c r="N12" s="145"/>
      <c r="O12" s="176" t="s">
        <v>22</v>
      </c>
      <c r="P12" s="176" t="s">
        <v>22</v>
      </c>
      <c r="Q12" s="176" t="s">
        <v>22</v>
      </c>
      <c r="R12" s="178" t="s">
        <v>34</v>
      </c>
      <c r="S12" s="178" t="s">
        <v>33</v>
      </c>
      <c r="T12" s="178"/>
      <c r="U12" s="174"/>
      <c r="V12" s="8"/>
      <c r="W12" s="8"/>
      <c r="X12" s="11"/>
      <c r="Y12" s="11"/>
      <c r="Z12" s="11"/>
      <c r="AA12" s="9"/>
      <c r="AB12" s="9"/>
      <c r="AC12" s="9"/>
      <c r="AD12" s="9"/>
      <c r="AE12" s="9"/>
      <c r="AF12" s="9"/>
      <c r="AG12" s="9"/>
      <c r="AH12" s="9"/>
      <c r="AI12" s="9"/>
    </row>
    <row r="13" spans="1:35" ht="33.75" customHeight="1" x14ac:dyDescent="0.55000000000000004">
      <c r="A13" s="13"/>
      <c r="B13" s="14"/>
      <c r="C13" s="15"/>
      <c r="D13" s="16"/>
      <c r="E13" s="17"/>
      <c r="F13" s="18"/>
      <c r="G13" s="18"/>
      <c r="H13" s="18"/>
      <c r="I13" s="18"/>
      <c r="J13" s="86"/>
      <c r="K13" s="18"/>
      <c r="L13" s="18"/>
      <c r="M13" s="18"/>
      <c r="N13" s="18"/>
      <c r="O13" s="18"/>
      <c r="P13" s="18"/>
      <c r="Q13" s="18"/>
      <c r="R13" s="18"/>
      <c r="S13" s="19"/>
      <c r="T13" s="20"/>
      <c r="U13" s="20"/>
      <c r="V13" s="8"/>
      <c r="W13" s="8"/>
      <c r="X13" s="11"/>
      <c r="Y13" s="11"/>
      <c r="Z13" s="11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33.75" customHeight="1" x14ac:dyDescent="0.55000000000000004">
      <c r="A14" s="136">
        <v>1</v>
      </c>
      <c r="B14" s="21"/>
      <c r="C14" s="146" t="s">
        <v>40</v>
      </c>
      <c r="D14" s="124" t="s">
        <v>6</v>
      </c>
      <c r="E14" s="22" t="s">
        <v>41</v>
      </c>
      <c r="F14" s="23">
        <v>713</v>
      </c>
      <c r="G14" s="23">
        <v>0</v>
      </c>
      <c r="H14" s="23">
        <v>0</v>
      </c>
      <c r="I14" s="23">
        <v>0</v>
      </c>
      <c r="J14" s="87">
        <v>0</v>
      </c>
      <c r="K14" s="23">
        <v>0</v>
      </c>
      <c r="L14" s="23">
        <v>0</v>
      </c>
      <c r="M14" s="23">
        <v>0</v>
      </c>
      <c r="N14" s="23">
        <f t="shared" ref="N14:N39" si="0">F14+J14</f>
        <v>713</v>
      </c>
      <c r="O14" s="23">
        <v>0</v>
      </c>
      <c r="P14" s="23">
        <v>0</v>
      </c>
      <c r="Q14" s="23">
        <v>0</v>
      </c>
      <c r="R14" s="23">
        <f t="shared" ref="R14:R39" si="1">N14*S14</f>
        <v>61318</v>
      </c>
      <c r="S14" s="24">
        <v>86</v>
      </c>
      <c r="T14" s="20"/>
      <c r="U14" s="25"/>
      <c r="V14" s="8"/>
      <c r="W14" s="8"/>
      <c r="X14" s="11"/>
      <c r="Y14" s="11"/>
      <c r="Z14" s="11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33.75" customHeight="1" x14ac:dyDescent="0.55000000000000004">
      <c r="A15" s="113"/>
      <c r="B15" s="21"/>
      <c r="C15" s="147"/>
      <c r="D15" s="110"/>
      <c r="E15" s="22" t="s">
        <v>42</v>
      </c>
      <c r="F15" s="23">
        <v>40</v>
      </c>
      <c r="G15" s="23">
        <v>0</v>
      </c>
      <c r="H15" s="23">
        <v>0</v>
      </c>
      <c r="I15" s="23">
        <v>0</v>
      </c>
      <c r="J15" s="87">
        <v>0</v>
      </c>
      <c r="K15" s="23">
        <v>0</v>
      </c>
      <c r="L15" s="23">
        <v>0</v>
      </c>
      <c r="M15" s="23">
        <v>0</v>
      </c>
      <c r="N15" s="23">
        <f t="shared" si="0"/>
        <v>40</v>
      </c>
      <c r="O15" s="23">
        <v>0</v>
      </c>
      <c r="P15" s="23">
        <v>0</v>
      </c>
      <c r="Q15" s="23">
        <v>0</v>
      </c>
      <c r="R15" s="23">
        <f t="shared" si="1"/>
        <v>2800</v>
      </c>
      <c r="S15" s="24">
        <v>70</v>
      </c>
      <c r="T15" s="20"/>
      <c r="U15" s="25"/>
      <c r="V15" s="8"/>
      <c r="W15" s="8"/>
      <c r="X15" s="11"/>
      <c r="Y15" s="11"/>
      <c r="Z15" s="11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33.75" customHeight="1" x14ac:dyDescent="0.55000000000000004">
      <c r="A16" s="113"/>
      <c r="B16" s="21"/>
      <c r="C16" s="147"/>
      <c r="D16" s="110"/>
      <c r="E16" s="26" t="s">
        <v>43</v>
      </c>
      <c r="F16" s="23">
        <v>13558</v>
      </c>
      <c r="G16" s="23">
        <v>0</v>
      </c>
      <c r="H16" s="23">
        <v>0</v>
      </c>
      <c r="I16" s="23">
        <v>0</v>
      </c>
      <c r="J16" s="87">
        <v>395</v>
      </c>
      <c r="K16" s="23">
        <v>0</v>
      </c>
      <c r="L16" s="23">
        <v>0</v>
      </c>
      <c r="M16" s="23">
        <v>0</v>
      </c>
      <c r="N16" s="23">
        <f t="shared" si="0"/>
        <v>13953</v>
      </c>
      <c r="O16" s="23">
        <v>0</v>
      </c>
      <c r="P16" s="23">
        <v>0</v>
      </c>
      <c r="Q16" s="23">
        <v>0</v>
      </c>
      <c r="R16" s="23">
        <f t="shared" si="1"/>
        <v>425287.44</v>
      </c>
      <c r="S16" s="24">
        <v>30.48</v>
      </c>
      <c r="T16" s="27"/>
      <c r="U16" s="28"/>
      <c r="V16" s="8"/>
      <c r="W16" s="8"/>
      <c r="X16" s="11"/>
      <c r="Y16" s="11"/>
      <c r="Z16" s="11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33.75" customHeight="1" x14ac:dyDescent="0.55000000000000004">
      <c r="A17" s="113"/>
      <c r="B17" s="21"/>
      <c r="C17" s="147"/>
      <c r="D17" s="110"/>
      <c r="E17" s="29" t="s">
        <v>44</v>
      </c>
      <c r="F17" s="23">
        <v>8275</v>
      </c>
      <c r="G17" s="23">
        <v>0</v>
      </c>
      <c r="H17" s="23">
        <v>0</v>
      </c>
      <c r="I17" s="23">
        <v>0</v>
      </c>
      <c r="J17" s="87">
        <v>0</v>
      </c>
      <c r="K17" s="23">
        <v>0</v>
      </c>
      <c r="L17" s="23">
        <v>0</v>
      </c>
      <c r="M17" s="23">
        <v>0</v>
      </c>
      <c r="N17" s="23">
        <f t="shared" si="0"/>
        <v>8275</v>
      </c>
      <c r="O17" s="23">
        <v>0</v>
      </c>
      <c r="P17" s="23">
        <v>0</v>
      </c>
      <c r="Q17" s="23">
        <v>0</v>
      </c>
      <c r="R17" s="23">
        <f t="shared" si="1"/>
        <v>252222</v>
      </c>
      <c r="S17" s="24">
        <v>30.48</v>
      </c>
      <c r="T17" s="27"/>
      <c r="U17" s="28"/>
      <c r="V17" s="8"/>
      <c r="W17" s="8"/>
      <c r="X17" s="11"/>
      <c r="Y17" s="11"/>
      <c r="Z17" s="11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33.75" customHeight="1" x14ac:dyDescent="0.55000000000000004">
      <c r="A18" s="113"/>
      <c r="B18" s="21"/>
      <c r="C18" s="147"/>
      <c r="D18" s="110"/>
      <c r="E18" s="30" t="s">
        <v>2</v>
      </c>
      <c r="F18" s="31">
        <v>495</v>
      </c>
      <c r="G18" s="23">
        <v>0</v>
      </c>
      <c r="H18" s="23">
        <v>0</v>
      </c>
      <c r="I18" s="23">
        <v>0</v>
      </c>
      <c r="J18" s="87">
        <v>0</v>
      </c>
      <c r="K18" s="23">
        <v>0</v>
      </c>
      <c r="L18" s="23">
        <v>0</v>
      </c>
      <c r="M18" s="23">
        <v>0</v>
      </c>
      <c r="N18" s="31">
        <f t="shared" si="0"/>
        <v>495</v>
      </c>
      <c r="O18" s="23">
        <v>0</v>
      </c>
      <c r="P18" s="23">
        <v>0</v>
      </c>
      <c r="Q18" s="23">
        <v>0</v>
      </c>
      <c r="R18" s="23">
        <f t="shared" si="1"/>
        <v>15087.6</v>
      </c>
      <c r="S18" s="32">
        <v>30.48</v>
      </c>
      <c r="T18" s="27"/>
      <c r="U18" s="28"/>
      <c r="V18" s="8"/>
      <c r="W18" s="8"/>
      <c r="X18" s="11"/>
      <c r="Y18" s="11"/>
      <c r="Z18" s="11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33.75" customHeight="1" x14ac:dyDescent="0.55000000000000004">
      <c r="A19" s="113"/>
      <c r="B19" s="21"/>
      <c r="C19" s="147"/>
      <c r="D19" s="110"/>
      <c r="E19" s="22" t="s">
        <v>45</v>
      </c>
      <c r="F19" s="23">
        <v>7412</v>
      </c>
      <c r="G19" s="23">
        <v>0</v>
      </c>
      <c r="H19" s="23">
        <v>0</v>
      </c>
      <c r="I19" s="23">
        <v>0</v>
      </c>
      <c r="J19" s="87">
        <v>294</v>
      </c>
      <c r="K19" s="23">
        <v>0</v>
      </c>
      <c r="L19" s="23">
        <v>0</v>
      </c>
      <c r="M19" s="23">
        <v>0</v>
      </c>
      <c r="N19" s="23">
        <f t="shared" si="0"/>
        <v>7706</v>
      </c>
      <c r="O19" s="23">
        <v>0</v>
      </c>
      <c r="P19" s="23">
        <v>0</v>
      </c>
      <c r="Q19" s="23">
        <v>0</v>
      </c>
      <c r="R19" s="23">
        <f t="shared" si="1"/>
        <v>839954</v>
      </c>
      <c r="S19" s="24">
        <v>109</v>
      </c>
      <c r="T19" s="20"/>
      <c r="U19" s="33"/>
      <c r="V19" s="8"/>
      <c r="W19" s="8"/>
      <c r="X19" s="11"/>
      <c r="Y19" s="11"/>
      <c r="Z19" s="11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33.75" customHeight="1" x14ac:dyDescent="0.55000000000000004">
      <c r="A20" s="113"/>
      <c r="B20" s="21"/>
      <c r="C20" s="147"/>
      <c r="D20" s="110"/>
      <c r="E20" s="22" t="s">
        <v>46</v>
      </c>
      <c r="F20" s="23">
        <v>5717</v>
      </c>
      <c r="G20" s="23">
        <v>0</v>
      </c>
      <c r="H20" s="23">
        <v>0</v>
      </c>
      <c r="I20" s="23">
        <v>0</v>
      </c>
      <c r="J20" s="87">
        <v>261</v>
      </c>
      <c r="K20" s="23">
        <v>0</v>
      </c>
      <c r="L20" s="23">
        <v>0</v>
      </c>
      <c r="M20" s="23">
        <v>0</v>
      </c>
      <c r="N20" s="23">
        <f t="shared" si="0"/>
        <v>5978</v>
      </c>
      <c r="O20" s="23">
        <v>0</v>
      </c>
      <c r="P20" s="23">
        <v>0</v>
      </c>
      <c r="Q20" s="23">
        <v>0</v>
      </c>
      <c r="R20" s="23">
        <f t="shared" si="1"/>
        <v>651602</v>
      </c>
      <c r="S20" s="24">
        <v>109</v>
      </c>
      <c r="T20" s="20"/>
      <c r="U20" s="33"/>
      <c r="V20" s="8"/>
      <c r="W20" s="8"/>
      <c r="X20" s="11"/>
      <c r="Y20" s="11"/>
      <c r="Z20" s="11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33.75" customHeight="1" x14ac:dyDescent="0.55000000000000004">
      <c r="A21" s="113"/>
      <c r="B21" s="21"/>
      <c r="C21" s="147"/>
      <c r="D21" s="110"/>
      <c r="E21" s="22" t="s">
        <v>47</v>
      </c>
      <c r="F21" s="23">
        <v>5800</v>
      </c>
      <c r="G21" s="23">
        <v>0</v>
      </c>
      <c r="H21" s="23">
        <v>0</v>
      </c>
      <c r="I21" s="23">
        <v>0</v>
      </c>
      <c r="J21" s="87">
        <v>180</v>
      </c>
      <c r="K21" s="23">
        <v>0</v>
      </c>
      <c r="L21" s="23">
        <v>0</v>
      </c>
      <c r="M21" s="23">
        <v>0</v>
      </c>
      <c r="N21" s="23">
        <f t="shared" si="0"/>
        <v>5980</v>
      </c>
      <c r="O21" s="23">
        <v>0</v>
      </c>
      <c r="P21" s="23">
        <v>0</v>
      </c>
      <c r="Q21" s="23">
        <v>0</v>
      </c>
      <c r="R21" s="23">
        <f t="shared" si="1"/>
        <v>651820</v>
      </c>
      <c r="S21" s="24">
        <v>109</v>
      </c>
      <c r="T21" s="20"/>
      <c r="U21" s="33"/>
      <c r="V21" s="8"/>
      <c r="W21" s="8"/>
      <c r="X21" s="11"/>
      <c r="Y21" s="11"/>
      <c r="Z21" s="11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33.75" customHeight="1" x14ac:dyDescent="0.55000000000000004">
      <c r="A22" s="113"/>
      <c r="B22" s="21"/>
      <c r="C22" s="147"/>
      <c r="D22" s="110"/>
      <c r="E22" s="22" t="s">
        <v>48</v>
      </c>
      <c r="F22" s="23">
        <v>6521</v>
      </c>
      <c r="G22" s="23">
        <v>0</v>
      </c>
      <c r="H22" s="23">
        <v>0</v>
      </c>
      <c r="I22" s="23">
        <v>0</v>
      </c>
      <c r="J22" s="87">
        <v>0</v>
      </c>
      <c r="K22" s="23">
        <v>0</v>
      </c>
      <c r="L22" s="23">
        <v>0</v>
      </c>
      <c r="M22" s="23">
        <v>0</v>
      </c>
      <c r="N22" s="23">
        <f t="shared" si="0"/>
        <v>6521</v>
      </c>
      <c r="O22" s="23">
        <v>0</v>
      </c>
      <c r="P22" s="23">
        <v>0</v>
      </c>
      <c r="Q22" s="23">
        <v>0</v>
      </c>
      <c r="R22" s="23">
        <f t="shared" si="1"/>
        <v>710789</v>
      </c>
      <c r="S22" s="24">
        <v>109</v>
      </c>
      <c r="T22" s="20"/>
      <c r="U22" s="33"/>
      <c r="V22" s="8"/>
      <c r="W22" s="8"/>
      <c r="X22" s="11"/>
      <c r="Y22" s="11"/>
      <c r="Z22" s="11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33.75" customHeight="1" x14ac:dyDescent="0.55000000000000004">
      <c r="A23" s="113"/>
      <c r="B23" s="21"/>
      <c r="C23" s="147"/>
      <c r="D23" s="110"/>
      <c r="E23" s="22" t="s">
        <v>49</v>
      </c>
      <c r="F23" s="23">
        <v>5473</v>
      </c>
      <c r="G23" s="23">
        <v>0</v>
      </c>
      <c r="H23" s="23">
        <v>0</v>
      </c>
      <c r="I23" s="23">
        <v>0</v>
      </c>
      <c r="J23" s="87">
        <v>182</v>
      </c>
      <c r="K23" s="23">
        <v>0</v>
      </c>
      <c r="L23" s="23">
        <v>0</v>
      </c>
      <c r="M23" s="23">
        <v>0</v>
      </c>
      <c r="N23" s="23">
        <f t="shared" si="0"/>
        <v>5655</v>
      </c>
      <c r="O23" s="23">
        <v>0</v>
      </c>
      <c r="P23" s="23">
        <v>0</v>
      </c>
      <c r="Q23" s="23">
        <v>0</v>
      </c>
      <c r="R23" s="23">
        <f t="shared" si="1"/>
        <v>616395</v>
      </c>
      <c r="S23" s="24">
        <v>109</v>
      </c>
      <c r="T23" s="20"/>
      <c r="U23" s="33"/>
      <c r="V23" s="8"/>
      <c r="W23" s="8"/>
      <c r="X23" s="11"/>
      <c r="Y23" s="11"/>
      <c r="Z23" s="11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33.75" customHeight="1" x14ac:dyDescent="0.55000000000000004">
      <c r="A24" s="113"/>
      <c r="B24" s="21"/>
      <c r="C24" s="147"/>
      <c r="D24" s="110"/>
      <c r="E24" s="22" t="s">
        <v>50</v>
      </c>
      <c r="F24" s="23">
        <v>6044</v>
      </c>
      <c r="G24" s="23">
        <v>0</v>
      </c>
      <c r="H24" s="23">
        <v>0</v>
      </c>
      <c r="I24" s="23">
        <v>0</v>
      </c>
      <c r="J24" s="87">
        <v>268</v>
      </c>
      <c r="K24" s="23">
        <v>0</v>
      </c>
      <c r="L24" s="23">
        <v>0</v>
      </c>
      <c r="M24" s="23">
        <v>0</v>
      </c>
      <c r="N24" s="23">
        <f t="shared" si="0"/>
        <v>6312</v>
      </c>
      <c r="O24" s="23">
        <v>0</v>
      </c>
      <c r="P24" s="23">
        <v>0</v>
      </c>
      <c r="Q24" s="23">
        <v>0</v>
      </c>
      <c r="R24" s="23">
        <f t="shared" si="1"/>
        <v>688008</v>
      </c>
      <c r="S24" s="24">
        <v>109</v>
      </c>
      <c r="T24" s="20"/>
      <c r="U24" s="33"/>
      <c r="V24" s="8"/>
      <c r="W24" s="8"/>
      <c r="X24" s="11"/>
      <c r="Y24" s="11"/>
      <c r="Z24" s="11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33.75" customHeight="1" x14ac:dyDescent="0.55000000000000004">
      <c r="A25" s="113"/>
      <c r="B25" s="21"/>
      <c r="C25" s="147"/>
      <c r="D25" s="110"/>
      <c r="E25" s="22" t="s">
        <v>51</v>
      </c>
      <c r="F25" s="23">
        <v>2605</v>
      </c>
      <c r="G25" s="23">
        <v>0</v>
      </c>
      <c r="H25" s="23">
        <v>0</v>
      </c>
      <c r="I25" s="23">
        <v>0</v>
      </c>
      <c r="J25" s="87">
        <v>269</v>
      </c>
      <c r="K25" s="23">
        <v>0</v>
      </c>
      <c r="L25" s="23">
        <v>0</v>
      </c>
      <c r="M25" s="23">
        <v>0</v>
      </c>
      <c r="N25" s="23">
        <f t="shared" si="0"/>
        <v>2874</v>
      </c>
      <c r="O25" s="23">
        <v>0</v>
      </c>
      <c r="P25" s="23">
        <v>0</v>
      </c>
      <c r="Q25" s="23">
        <v>0</v>
      </c>
      <c r="R25" s="23">
        <f t="shared" si="1"/>
        <v>313266</v>
      </c>
      <c r="S25" s="24">
        <v>109</v>
      </c>
      <c r="T25" s="20"/>
      <c r="U25" s="33"/>
      <c r="V25" s="8"/>
      <c r="W25" s="8"/>
      <c r="X25" s="11"/>
      <c r="Y25" s="11"/>
      <c r="Z25" s="11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33.75" customHeight="1" x14ac:dyDescent="0.55000000000000004">
      <c r="A26" s="113"/>
      <c r="B26" s="21"/>
      <c r="C26" s="147"/>
      <c r="D26" s="110"/>
      <c r="E26" s="22" t="s">
        <v>52</v>
      </c>
      <c r="F26" s="23">
        <v>6465</v>
      </c>
      <c r="G26" s="23">
        <v>0</v>
      </c>
      <c r="H26" s="23">
        <v>0</v>
      </c>
      <c r="I26" s="23">
        <v>0</v>
      </c>
      <c r="J26" s="87">
        <v>312</v>
      </c>
      <c r="K26" s="23">
        <v>0</v>
      </c>
      <c r="L26" s="23">
        <v>0</v>
      </c>
      <c r="M26" s="23">
        <v>0</v>
      </c>
      <c r="N26" s="23">
        <f t="shared" si="0"/>
        <v>6777</v>
      </c>
      <c r="O26" s="23">
        <v>0</v>
      </c>
      <c r="P26" s="23">
        <v>0</v>
      </c>
      <c r="Q26" s="23">
        <v>0</v>
      </c>
      <c r="R26" s="23">
        <f t="shared" si="1"/>
        <v>738693</v>
      </c>
      <c r="S26" s="24">
        <v>109</v>
      </c>
      <c r="T26" s="20"/>
      <c r="U26" s="33"/>
      <c r="V26" s="8"/>
      <c r="W26" s="8"/>
      <c r="X26" s="11"/>
      <c r="Y26" s="11"/>
      <c r="Z26" s="11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33.75" customHeight="1" x14ac:dyDescent="0.55000000000000004">
      <c r="A27" s="113"/>
      <c r="B27" s="21"/>
      <c r="C27" s="147"/>
      <c r="D27" s="110"/>
      <c r="E27" s="22" t="s">
        <v>53</v>
      </c>
      <c r="F27" s="23">
        <v>5499</v>
      </c>
      <c r="G27" s="23">
        <v>0</v>
      </c>
      <c r="H27" s="23">
        <v>0</v>
      </c>
      <c r="I27" s="23">
        <v>0</v>
      </c>
      <c r="J27" s="87">
        <v>0</v>
      </c>
      <c r="K27" s="23">
        <v>0</v>
      </c>
      <c r="L27" s="23">
        <v>0</v>
      </c>
      <c r="M27" s="23">
        <v>0</v>
      </c>
      <c r="N27" s="23">
        <f t="shared" si="0"/>
        <v>5499</v>
      </c>
      <c r="O27" s="23">
        <v>0</v>
      </c>
      <c r="P27" s="23">
        <v>0</v>
      </c>
      <c r="Q27" s="23">
        <v>0</v>
      </c>
      <c r="R27" s="23">
        <f t="shared" si="1"/>
        <v>599391</v>
      </c>
      <c r="S27" s="24">
        <v>109</v>
      </c>
      <c r="T27" s="20"/>
      <c r="U27" s="33"/>
      <c r="V27" s="8"/>
      <c r="W27" s="8"/>
      <c r="X27" s="11"/>
      <c r="Y27" s="11"/>
      <c r="Z27" s="11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33.75" customHeight="1" x14ac:dyDescent="0.55000000000000004">
      <c r="A28" s="113"/>
      <c r="B28" s="21"/>
      <c r="C28" s="147"/>
      <c r="D28" s="110"/>
      <c r="E28" s="22" t="s">
        <v>54</v>
      </c>
      <c r="F28" s="23">
        <v>1353</v>
      </c>
      <c r="G28" s="23">
        <v>0</v>
      </c>
      <c r="H28" s="23">
        <v>0</v>
      </c>
      <c r="I28" s="23">
        <v>0</v>
      </c>
      <c r="J28" s="87">
        <v>311</v>
      </c>
      <c r="K28" s="23">
        <v>0</v>
      </c>
      <c r="L28" s="23">
        <v>0</v>
      </c>
      <c r="M28" s="23">
        <v>0</v>
      </c>
      <c r="N28" s="23">
        <f t="shared" si="0"/>
        <v>1664</v>
      </c>
      <c r="O28" s="23">
        <v>0</v>
      </c>
      <c r="P28" s="23">
        <v>0</v>
      </c>
      <c r="Q28" s="23">
        <v>0</v>
      </c>
      <c r="R28" s="23">
        <f t="shared" si="1"/>
        <v>181376</v>
      </c>
      <c r="S28" s="24">
        <v>109</v>
      </c>
      <c r="T28" s="20"/>
      <c r="U28" s="33"/>
      <c r="V28" s="8"/>
      <c r="W28" s="8"/>
      <c r="X28" s="11"/>
      <c r="Y28" s="11"/>
      <c r="Z28" s="11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33.75" customHeight="1" x14ac:dyDescent="0.55000000000000004">
      <c r="A29" s="113"/>
      <c r="B29" s="21"/>
      <c r="C29" s="147"/>
      <c r="D29" s="110"/>
      <c r="E29" s="22" t="s">
        <v>55</v>
      </c>
      <c r="F29" s="23">
        <v>7543</v>
      </c>
      <c r="G29" s="23">
        <v>0</v>
      </c>
      <c r="H29" s="23">
        <v>0</v>
      </c>
      <c r="I29" s="23">
        <v>0</v>
      </c>
      <c r="J29" s="87">
        <v>329</v>
      </c>
      <c r="K29" s="23">
        <v>0</v>
      </c>
      <c r="L29" s="23">
        <v>0</v>
      </c>
      <c r="M29" s="23">
        <v>0</v>
      </c>
      <c r="N29" s="23">
        <f t="shared" si="0"/>
        <v>7872</v>
      </c>
      <c r="O29" s="23">
        <v>0</v>
      </c>
      <c r="P29" s="23">
        <v>0</v>
      </c>
      <c r="Q29" s="23">
        <v>0</v>
      </c>
      <c r="R29" s="23">
        <f t="shared" si="1"/>
        <v>858048</v>
      </c>
      <c r="S29" s="24">
        <v>109</v>
      </c>
      <c r="T29" s="20"/>
      <c r="U29" s="33"/>
      <c r="V29" s="8"/>
      <c r="W29" s="8"/>
      <c r="X29" s="11"/>
      <c r="Y29" s="11"/>
      <c r="Z29" s="11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33.75" customHeight="1" x14ac:dyDescent="0.55000000000000004">
      <c r="A30" s="113"/>
      <c r="B30" s="21"/>
      <c r="C30" s="147"/>
      <c r="D30" s="110"/>
      <c r="E30" s="22" t="s">
        <v>56</v>
      </c>
      <c r="F30" s="23">
        <v>3809</v>
      </c>
      <c r="G30" s="23">
        <v>0</v>
      </c>
      <c r="H30" s="23">
        <v>0</v>
      </c>
      <c r="I30" s="23">
        <v>0</v>
      </c>
      <c r="J30" s="87">
        <v>0</v>
      </c>
      <c r="K30" s="23">
        <v>0</v>
      </c>
      <c r="L30" s="23">
        <v>0</v>
      </c>
      <c r="M30" s="23">
        <v>0</v>
      </c>
      <c r="N30" s="23">
        <f t="shared" si="0"/>
        <v>3809</v>
      </c>
      <c r="O30" s="23">
        <v>0</v>
      </c>
      <c r="P30" s="23">
        <v>0</v>
      </c>
      <c r="Q30" s="23">
        <v>0</v>
      </c>
      <c r="R30" s="23">
        <f t="shared" si="1"/>
        <v>415181</v>
      </c>
      <c r="S30" s="24">
        <v>109</v>
      </c>
      <c r="T30" s="20"/>
      <c r="U30" s="33"/>
      <c r="V30" s="8"/>
      <c r="W30" s="8"/>
      <c r="X30" s="11"/>
      <c r="Y30" s="11"/>
      <c r="Z30" s="11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33.75" customHeight="1" x14ac:dyDescent="0.55000000000000004">
      <c r="A31" s="113"/>
      <c r="B31" s="21"/>
      <c r="C31" s="147"/>
      <c r="D31" s="110"/>
      <c r="E31" s="22" t="s">
        <v>57</v>
      </c>
      <c r="F31" s="23">
        <v>6517</v>
      </c>
      <c r="G31" s="23">
        <v>0</v>
      </c>
      <c r="H31" s="23">
        <v>0</v>
      </c>
      <c r="I31" s="23">
        <v>0</v>
      </c>
      <c r="J31" s="87">
        <v>270</v>
      </c>
      <c r="K31" s="23">
        <v>0</v>
      </c>
      <c r="L31" s="23">
        <v>0</v>
      </c>
      <c r="M31" s="23">
        <v>0</v>
      </c>
      <c r="N31" s="23">
        <f t="shared" si="0"/>
        <v>6787</v>
      </c>
      <c r="O31" s="23">
        <v>0</v>
      </c>
      <c r="P31" s="23">
        <v>0</v>
      </c>
      <c r="Q31" s="23">
        <v>0</v>
      </c>
      <c r="R31" s="23">
        <f t="shared" si="1"/>
        <v>739783</v>
      </c>
      <c r="S31" s="24">
        <v>109</v>
      </c>
      <c r="T31" s="20"/>
      <c r="U31" s="33"/>
      <c r="V31" s="8"/>
      <c r="W31" s="8"/>
      <c r="X31" s="11"/>
      <c r="Y31" s="11"/>
      <c r="Z31" s="11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33.75" customHeight="1" x14ac:dyDescent="0.55000000000000004">
      <c r="A32" s="113"/>
      <c r="B32" s="21"/>
      <c r="C32" s="147"/>
      <c r="D32" s="110"/>
      <c r="E32" s="34" t="s">
        <v>58</v>
      </c>
      <c r="F32" s="23">
        <v>4699</v>
      </c>
      <c r="G32" s="23">
        <v>0</v>
      </c>
      <c r="H32" s="23">
        <v>0</v>
      </c>
      <c r="I32" s="23">
        <v>0</v>
      </c>
      <c r="J32" s="87">
        <v>183</v>
      </c>
      <c r="K32" s="23">
        <v>0</v>
      </c>
      <c r="L32" s="23">
        <v>0</v>
      </c>
      <c r="M32" s="23">
        <v>0</v>
      </c>
      <c r="N32" s="23">
        <f t="shared" si="0"/>
        <v>4882</v>
      </c>
      <c r="O32" s="23">
        <v>0</v>
      </c>
      <c r="P32" s="23">
        <v>0</v>
      </c>
      <c r="Q32" s="23">
        <v>0</v>
      </c>
      <c r="R32" s="23">
        <f t="shared" si="1"/>
        <v>375914</v>
      </c>
      <c r="S32" s="24">
        <v>77</v>
      </c>
      <c r="T32" s="20"/>
      <c r="U32" s="33"/>
      <c r="V32" s="8"/>
      <c r="W32" s="8"/>
      <c r="X32" s="11"/>
      <c r="Y32" s="11"/>
      <c r="Z32" s="11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33.75" customHeight="1" x14ac:dyDescent="0.55000000000000004">
      <c r="A33" s="113"/>
      <c r="B33" s="21"/>
      <c r="C33" s="147"/>
      <c r="D33" s="110"/>
      <c r="E33" s="22" t="s">
        <v>59</v>
      </c>
      <c r="F33" s="23">
        <v>615</v>
      </c>
      <c r="G33" s="35">
        <f t="shared" ref="G33:G37" si="2">F33*64.8/1000</f>
        <v>39.851999999999997</v>
      </c>
      <c r="H33" s="23">
        <v>0</v>
      </c>
      <c r="I33" s="35">
        <f t="shared" ref="I33:I39" si="3">G33+H33</f>
        <v>39.851999999999997</v>
      </c>
      <c r="J33" s="87">
        <v>24</v>
      </c>
      <c r="K33" s="23">
        <f t="shared" ref="K33:K37" si="4">J33*64.8/1000</f>
        <v>1.5551999999999999</v>
      </c>
      <c r="L33" s="23">
        <v>0</v>
      </c>
      <c r="M33" s="23">
        <f t="shared" ref="M33:M39" si="5">SUM(K33:L33)</f>
        <v>1.5551999999999999</v>
      </c>
      <c r="N33" s="23">
        <f t="shared" si="0"/>
        <v>639</v>
      </c>
      <c r="O33" s="35">
        <f t="shared" ref="O33:P33" si="6">G33+K33</f>
        <v>41.407199999999996</v>
      </c>
      <c r="P33" s="35">
        <f t="shared" si="6"/>
        <v>0</v>
      </c>
      <c r="Q33" s="35">
        <f t="shared" ref="Q33:Q39" si="7">O33+P33</f>
        <v>41.407199999999996</v>
      </c>
      <c r="R33" s="23">
        <f t="shared" si="1"/>
        <v>1278639</v>
      </c>
      <c r="S33" s="23">
        <v>2001</v>
      </c>
      <c r="T33" s="20"/>
      <c r="U33" s="20"/>
      <c r="V33" s="8"/>
      <c r="W33" s="8"/>
      <c r="X33" s="11"/>
      <c r="Y33" s="11"/>
      <c r="Z33" s="11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33.75" customHeight="1" x14ac:dyDescent="0.55000000000000004">
      <c r="A34" s="113"/>
      <c r="B34" s="21"/>
      <c r="C34" s="147"/>
      <c r="D34" s="110"/>
      <c r="E34" s="22" t="s">
        <v>60</v>
      </c>
      <c r="F34" s="23">
        <v>789</v>
      </c>
      <c r="G34" s="35">
        <f t="shared" si="2"/>
        <v>51.127199999999995</v>
      </c>
      <c r="H34" s="23">
        <v>0</v>
      </c>
      <c r="I34" s="35">
        <f t="shared" si="3"/>
        <v>51.127199999999995</v>
      </c>
      <c r="J34" s="87">
        <v>28</v>
      </c>
      <c r="K34" s="23">
        <f t="shared" si="4"/>
        <v>1.8143999999999998</v>
      </c>
      <c r="L34" s="23">
        <v>0</v>
      </c>
      <c r="M34" s="23">
        <f t="shared" si="5"/>
        <v>1.8143999999999998</v>
      </c>
      <c r="N34" s="23">
        <f t="shared" si="0"/>
        <v>817</v>
      </c>
      <c r="O34" s="35">
        <f t="shared" ref="O34:P34" si="8">G34+K34</f>
        <v>52.941599999999994</v>
      </c>
      <c r="P34" s="35">
        <f t="shared" si="8"/>
        <v>0</v>
      </c>
      <c r="Q34" s="35">
        <f t="shared" si="7"/>
        <v>52.941599999999994</v>
      </c>
      <c r="R34" s="23">
        <f t="shared" si="1"/>
        <v>1634817</v>
      </c>
      <c r="S34" s="23">
        <v>2001</v>
      </c>
      <c r="T34" s="20"/>
      <c r="U34" s="20"/>
      <c r="V34" s="8"/>
      <c r="W34" s="8"/>
      <c r="X34" s="11"/>
      <c r="Y34" s="11"/>
      <c r="Z34" s="11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33.75" customHeight="1" x14ac:dyDescent="0.55000000000000004">
      <c r="A35" s="113"/>
      <c r="B35" s="21"/>
      <c r="C35" s="147"/>
      <c r="D35" s="110"/>
      <c r="E35" s="22" t="s">
        <v>61</v>
      </c>
      <c r="F35" s="23">
        <v>126</v>
      </c>
      <c r="G35" s="35">
        <f t="shared" si="2"/>
        <v>8.1647999999999996</v>
      </c>
      <c r="H35" s="23">
        <v>0</v>
      </c>
      <c r="I35" s="35">
        <f t="shared" si="3"/>
        <v>8.1647999999999996</v>
      </c>
      <c r="J35" s="87">
        <v>38</v>
      </c>
      <c r="K35" s="23">
        <f t="shared" si="4"/>
        <v>2.4624000000000001</v>
      </c>
      <c r="L35" s="23">
        <v>0</v>
      </c>
      <c r="M35" s="23">
        <f t="shared" si="5"/>
        <v>2.4624000000000001</v>
      </c>
      <c r="N35" s="23">
        <f t="shared" si="0"/>
        <v>164</v>
      </c>
      <c r="O35" s="35">
        <f t="shared" ref="O35:P35" si="9">G35+K35</f>
        <v>10.6272</v>
      </c>
      <c r="P35" s="35">
        <f t="shared" si="9"/>
        <v>0</v>
      </c>
      <c r="Q35" s="35">
        <f t="shared" si="7"/>
        <v>10.6272</v>
      </c>
      <c r="R35" s="23">
        <f t="shared" si="1"/>
        <v>328164</v>
      </c>
      <c r="S35" s="23">
        <v>2001</v>
      </c>
      <c r="T35" s="20"/>
      <c r="U35" s="20"/>
      <c r="V35" s="8"/>
      <c r="W35" s="8"/>
      <c r="X35" s="11"/>
      <c r="Y35" s="11"/>
      <c r="Z35" s="11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33.75" customHeight="1" x14ac:dyDescent="0.55000000000000004">
      <c r="A36" s="113"/>
      <c r="B36" s="21"/>
      <c r="C36" s="147"/>
      <c r="D36" s="110"/>
      <c r="E36" s="22" t="s">
        <v>62</v>
      </c>
      <c r="F36" s="23">
        <v>828</v>
      </c>
      <c r="G36" s="35">
        <f t="shared" si="2"/>
        <v>53.654399999999995</v>
      </c>
      <c r="H36" s="23">
        <v>0</v>
      </c>
      <c r="I36" s="35">
        <f t="shared" si="3"/>
        <v>53.654399999999995</v>
      </c>
      <c r="J36" s="87">
        <v>24</v>
      </c>
      <c r="K36" s="23">
        <f t="shared" si="4"/>
        <v>1.5551999999999999</v>
      </c>
      <c r="L36" s="23">
        <v>0</v>
      </c>
      <c r="M36" s="23">
        <f t="shared" si="5"/>
        <v>1.5551999999999999</v>
      </c>
      <c r="N36" s="23">
        <f t="shared" si="0"/>
        <v>852</v>
      </c>
      <c r="O36" s="35">
        <f t="shared" ref="O36:P36" si="10">G36+K36</f>
        <v>55.209599999999995</v>
      </c>
      <c r="P36" s="35">
        <f t="shared" si="10"/>
        <v>0</v>
      </c>
      <c r="Q36" s="35">
        <f t="shared" si="7"/>
        <v>55.209599999999995</v>
      </c>
      <c r="R36" s="23">
        <f t="shared" si="1"/>
        <v>1704852</v>
      </c>
      <c r="S36" s="23">
        <v>2001</v>
      </c>
      <c r="T36" s="20"/>
      <c r="U36" s="20"/>
      <c r="V36" s="8"/>
      <c r="W36" s="8"/>
      <c r="X36" s="11"/>
      <c r="Y36" s="11"/>
      <c r="Z36" s="11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33.75" customHeight="1" x14ac:dyDescent="0.55000000000000004">
      <c r="A37" s="113"/>
      <c r="B37" s="21"/>
      <c r="C37" s="147"/>
      <c r="D37" s="110"/>
      <c r="E37" s="22" t="s">
        <v>63</v>
      </c>
      <c r="F37" s="23">
        <v>735</v>
      </c>
      <c r="G37" s="35">
        <f t="shared" si="2"/>
        <v>47.628</v>
      </c>
      <c r="H37" s="23">
        <v>0</v>
      </c>
      <c r="I37" s="35">
        <f t="shared" si="3"/>
        <v>47.628</v>
      </c>
      <c r="J37" s="87">
        <v>17</v>
      </c>
      <c r="K37" s="23">
        <f t="shared" si="4"/>
        <v>1.1015999999999999</v>
      </c>
      <c r="L37" s="23">
        <v>0</v>
      </c>
      <c r="M37" s="23">
        <f t="shared" si="5"/>
        <v>1.1015999999999999</v>
      </c>
      <c r="N37" s="23">
        <f t="shared" si="0"/>
        <v>752</v>
      </c>
      <c r="O37" s="35">
        <f t="shared" ref="O37:P37" si="11">G37+K37</f>
        <v>48.729599999999998</v>
      </c>
      <c r="P37" s="35">
        <f t="shared" si="11"/>
        <v>0</v>
      </c>
      <c r="Q37" s="35">
        <f t="shared" si="7"/>
        <v>48.729599999999998</v>
      </c>
      <c r="R37" s="23">
        <f t="shared" si="1"/>
        <v>1504752</v>
      </c>
      <c r="S37" s="23">
        <v>2001</v>
      </c>
      <c r="T37" s="20"/>
      <c r="U37" s="20"/>
      <c r="V37" s="8"/>
      <c r="W37" s="8"/>
      <c r="X37" s="11"/>
      <c r="Y37" s="11"/>
      <c r="Z37" s="11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33.75" customHeight="1" x14ac:dyDescent="0.55000000000000004">
      <c r="A38" s="113"/>
      <c r="B38" s="21"/>
      <c r="C38" s="147"/>
      <c r="D38" s="110"/>
      <c r="E38" s="22" t="s">
        <v>64</v>
      </c>
      <c r="F38" s="23">
        <v>679</v>
      </c>
      <c r="G38" s="23">
        <f>F38*144/1000</f>
        <v>97.775999999999996</v>
      </c>
      <c r="H38" s="23">
        <v>0</v>
      </c>
      <c r="I38" s="35">
        <f t="shared" si="3"/>
        <v>97.775999999999996</v>
      </c>
      <c r="J38" s="87">
        <v>0</v>
      </c>
      <c r="K38" s="23">
        <f>J38*144/1000</f>
        <v>0</v>
      </c>
      <c r="L38" s="23">
        <v>0</v>
      </c>
      <c r="M38" s="23">
        <f t="shared" si="5"/>
        <v>0</v>
      </c>
      <c r="N38" s="23">
        <f t="shared" si="0"/>
        <v>679</v>
      </c>
      <c r="O38" s="35">
        <f t="shared" ref="O38:P38" si="12">G38+K38</f>
        <v>97.775999999999996</v>
      </c>
      <c r="P38" s="35">
        <f t="shared" si="12"/>
        <v>0</v>
      </c>
      <c r="Q38" s="35">
        <f t="shared" si="7"/>
        <v>97.775999999999996</v>
      </c>
      <c r="R38" s="23">
        <f t="shared" si="1"/>
        <v>2319464</v>
      </c>
      <c r="S38" s="24">
        <v>3416</v>
      </c>
      <c r="T38" s="20"/>
      <c r="U38" s="20"/>
      <c r="V38" s="8"/>
      <c r="W38" s="8"/>
      <c r="X38" s="11"/>
      <c r="Y38" s="11"/>
      <c r="Z38" s="11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33.75" customHeight="1" x14ac:dyDescent="0.55000000000000004">
      <c r="A39" s="114"/>
      <c r="B39" s="36"/>
      <c r="C39" s="148"/>
      <c r="D39" s="111"/>
      <c r="E39" s="37" t="s">
        <v>65</v>
      </c>
      <c r="F39" s="23">
        <v>67</v>
      </c>
      <c r="G39" s="23">
        <v>0</v>
      </c>
      <c r="H39" s="23">
        <v>0</v>
      </c>
      <c r="I39" s="35">
        <f t="shared" si="3"/>
        <v>0</v>
      </c>
      <c r="J39" s="87">
        <v>0</v>
      </c>
      <c r="K39" s="23">
        <v>0</v>
      </c>
      <c r="L39" s="23">
        <v>0</v>
      </c>
      <c r="M39" s="23">
        <f t="shared" si="5"/>
        <v>0</v>
      </c>
      <c r="N39" s="23">
        <f t="shared" si="0"/>
        <v>67</v>
      </c>
      <c r="O39" s="23">
        <f>G39+K39</f>
        <v>0</v>
      </c>
      <c r="P39" s="23">
        <v>0</v>
      </c>
      <c r="Q39" s="23">
        <f t="shared" si="7"/>
        <v>0</v>
      </c>
      <c r="R39" s="23">
        <f t="shared" si="1"/>
        <v>186394</v>
      </c>
      <c r="S39" s="24">
        <v>2782</v>
      </c>
      <c r="T39" s="20"/>
      <c r="U39" s="20"/>
      <c r="V39" s="8"/>
      <c r="W39" s="8"/>
      <c r="X39" s="11"/>
      <c r="Y39" s="11"/>
      <c r="Z39" s="11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33.75" customHeight="1" x14ac:dyDescent="0.55000000000000004">
      <c r="A40" s="38"/>
      <c r="B40" s="17"/>
      <c r="C40" s="126" t="s">
        <v>0</v>
      </c>
      <c r="D40" s="127"/>
      <c r="E40" s="115"/>
      <c r="F40" s="40">
        <f>SUM(F14:F39)</f>
        <v>102377</v>
      </c>
      <c r="G40" s="40">
        <f t="shared" ref="G40:R40" si="13">SUM(G14:G39)</f>
        <v>298.20240000000001</v>
      </c>
      <c r="H40" s="40">
        <f t="shared" si="13"/>
        <v>0</v>
      </c>
      <c r="I40" s="40">
        <f t="shared" si="13"/>
        <v>298.20240000000001</v>
      </c>
      <c r="J40" s="88">
        <f t="shared" si="13"/>
        <v>3385</v>
      </c>
      <c r="K40" s="40">
        <f t="shared" si="13"/>
        <v>8.4887999999999995</v>
      </c>
      <c r="L40" s="40">
        <f t="shared" si="13"/>
        <v>0</v>
      </c>
      <c r="M40" s="40">
        <f t="shared" si="13"/>
        <v>8.4887999999999995</v>
      </c>
      <c r="N40" s="40">
        <f t="shared" si="13"/>
        <v>105762</v>
      </c>
      <c r="O40" s="40">
        <f t="shared" si="13"/>
        <v>306.69119999999998</v>
      </c>
      <c r="P40" s="40">
        <f t="shared" si="13"/>
        <v>0</v>
      </c>
      <c r="Q40" s="40">
        <f t="shared" si="13"/>
        <v>306.69119999999998</v>
      </c>
      <c r="R40" s="40">
        <f t="shared" si="13"/>
        <v>18094017.039999999</v>
      </c>
      <c r="S40" s="19"/>
      <c r="T40" s="41">
        <f>R40/(Q40*1000)</f>
        <v>58.997509677486676</v>
      </c>
      <c r="U40" s="20"/>
      <c r="V40" s="8"/>
      <c r="W40" s="8"/>
      <c r="X40" s="11"/>
      <c r="Y40" s="11"/>
      <c r="Z40" s="11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33.75" customHeight="1" x14ac:dyDescent="0.55000000000000004">
      <c r="A41" s="38"/>
      <c r="B41" s="17"/>
      <c r="C41" s="17"/>
      <c r="D41" s="42"/>
      <c r="E41" s="42"/>
      <c r="F41" s="43"/>
      <c r="G41" s="43"/>
      <c r="H41" s="43"/>
      <c r="I41" s="43"/>
      <c r="J41" s="89"/>
      <c r="K41" s="43"/>
      <c r="L41" s="43"/>
      <c r="M41" s="43"/>
      <c r="N41" s="43"/>
      <c r="O41" s="43"/>
      <c r="P41" s="43"/>
      <c r="Q41" s="43"/>
      <c r="R41" s="43"/>
      <c r="S41" s="44"/>
      <c r="T41" s="45"/>
      <c r="U41" s="46"/>
      <c r="V41" s="8"/>
      <c r="W41" s="8"/>
      <c r="X41" s="11"/>
      <c r="Y41" s="11"/>
      <c r="Z41" s="11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36" customHeight="1" x14ac:dyDescent="0.55000000000000004">
      <c r="A42" s="142">
        <v>2</v>
      </c>
      <c r="B42" s="47"/>
      <c r="C42" s="141" t="s">
        <v>66</v>
      </c>
      <c r="D42" s="143" t="s">
        <v>7</v>
      </c>
      <c r="E42" s="22" t="s">
        <v>41</v>
      </c>
      <c r="F42" s="23">
        <v>158</v>
      </c>
      <c r="G42" s="23">
        <v>0</v>
      </c>
      <c r="H42" s="23">
        <v>0</v>
      </c>
      <c r="I42" s="23">
        <v>0</v>
      </c>
      <c r="J42" s="87">
        <v>0</v>
      </c>
      <c r="K42" s="23">
        <v>0</v>
      </c>
      <c r="L42" s="23">
        <v>0</v>
      </c>
      <c r="M42" s="23">
        <v>0</v>
      </c>
      <c r="N42" s="23">
        <f t="shared" ref="N42:N45" si="14">F42+J42</f>
        <v>158</v>
      </c>
      <c r="O42" s="23">
        <v>0</v>
      </c>
      <c r="P42" s="23">
        <v>0</v>
      </c>
      <c r="Q42" s="23">
        <v>0</v>
      </c>
      <c r="R42" s="23">
        <f t="shared" ref="R42:R45" si="15">N42*S42</f>
        <v>13588</v>
      </c>
      <c r="S42" s="24">
        <v>86</v>
      </c>
      <c r="T42" s="47"/>
      <c r="U42" s="47"/>
      <c r="V42" s="8"/>
      <c r="W42" s="8"/>
      <c r="X42" s="11"/>
      <c r="Y42" s="11"/>
      <c r="Z42" s="11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33.75" customHeight="1" x14ac:dyDescent="0.55000000000000004">
      <c r="A43" s="110"/>
      <c r="B43" s="47"/>
      <c r="C43" s="110"/>
      <c r="D43" s="113"/>
      <c r="E43" s="26" t="s">
        <v>43</v>
      </c>
      <c r="F43" s="23">
        <v>127</v>
      </c>
      <c r="G43" s="23">
        <v>0</v>
      </c>
      <c r="H43" s="23">
        <v>0</v>
      </c>
      <c r="I43" s="23">
        <v>0</v>
      </c>
      <c r="J43" s="87">
        <v>0</v>
      </c>
      <c r="K43" s="23">
        <v>0</v>
      </c>
      <c r="L43" s="23">
        <v>0</v>
      </c>
      <c r="M43" s="23">
        <v>0</v>
      </c>
      <c r="N43" s="23">
        <f t="shared" si="14"/>
        <v>127</v>
      </c>
      <c r="O43" s="23">
        <v>0</v>
      </c>
      <c r="P43" s="23">
        <v>0</v>
      </c>
      <c r="Q43" s="23">
        <v>0</v>
      </c>
      <c r="R43" s="23">
        <f t="shared" si="15"/>
        <v>3870.96</v>
      </c>
      <c r="S43" s="24">
        <v>30.48</v>
      </c>
      <c r="T43" s="47"/>
      <c r="U43" s="47"/>
      <c r="V43" s="8"/>
      <c r="W43" s="8"/>
      <c r="X43" s="11"/>
      <c r="Y43" s="11"/>
      <c r="Z43" s="11"/>
      <c r="AA43" s="9"/>
      <c r="AB43" s="9"/>
      <c r="AC43" s="9"/>
      <c r="AD43" s="9"/>
      <c r="AE43" s="9"/>
      <c r="AF43" s="9"/>
      <c r="AG43" s="9"/>
      <c r="AH43" s="9"/>
      <c r="AI43" s="9"/>
    </row>
    <row r="44" spans="1:35" ht="33.75" customHeight="1" x14ac:dyDescent="0.55000000000000004">
      <c r="A44" s="110"/>
      <c r="B44" s="47"/>
      <c r="C44" s="110"/>
      <c r="D44" s="113"/>
      <c r="E44" s="30" t="s">
        <v>2</v>
      </c>
      <c r="F44" s="31">
        <v>316</v>
      </c>
      <c r="G44" s="23">
        <v>0</v>
      </c>
      <c r="H44" s="23">
        <v>0</v>
      </c>
      <c r="I44" s="23">
        <v>0</v>
      </c>
      <c r="J44" s="87">
        <v>0</v>
      </c>
      <c r="K44" s="23">
        <v>0</v>
      </c>
      <c r="L44" s="23">
        <v>0</v>
      </c>
      <c r="M44" s="23">
        <v>0</v>
      </c>
      <c r="N44" s="31">
        <f t="shared" si="14"/>
        <v>316</v>
      </c>
      <c r="O44" s="23">
        <v>0</v>
      </c>
      <c r="P44" s="23">
        <v>0</v>
      </c>
      <c r="Q44" s="23">
        <v>0</v>
      </c>
      <c r="R44" s="23">
        <f t="shared" si="15"/>
        <v>9631.68</v>
      </c>
      <c r="S44" s="32">
        <v>30.48</v>
      </c>
      <c r="T44" s="47"/>
      <c r="U44" s="47"/>
      <c r="V44" s="8"/>
      <c r="W44" s="8"/>
      <c r="X44" s="11"/>
      <c r="Y44" s="11"/>
      <c r="Z44" s="11"/>
      <c r="AA44" s="9"/>
      <c r="AB44" s="9"/>
      <c r="AC44" s="9"/>
      <c r="AD44" s="9"/>
      <c r="AE44" s="9"/>
      <c r="AF44" s="9"/>
      <c r="AG44" s="9"/>
      <c r="AH44" s="9"/>
      <c r="AI44" s="9"/>
    </row>
    <row r="45" spans="1:35" ht="33.75" customHeight="1" x14ac:dyDescent="0.55000000000000004">
      <c r="A45" s="110"/>
      <c r="B45" s="47"/>
      <c r="C45" s="110"/>
      <c r="D45" s="113"/>
      <c r="E45" s="22" t="s">
        <v>61</v>
      </c>
      <c r="F45" s="23">
        <v>115</v>
      </c>
      <c r="G45" s="35">
        <f>F45*64.8/1000</f>
        <v>7.452</v>
      </c>
      <c r="H45" s="23">
        <v>0</v>
      </c>
      <c r="I45" s="35">
        <f>G45+H45</f>
        <v>7.452</v>
      </c>
      <c r="J45" s="87">
        <v>38</v>
      </c>
      <c r="K45" s="23">
        <f>J45*64.8/1000</f>
        <v>2.4624000000000001</v>
      </c>
      <c r="L45" s="23">
        <v>0</v>
      </c>
      <c r="M45" s="23">
        <f>SUM(K45:L45)</f>
        <v>2.4624000000000001</v>
      </c>
      <c r="N45" s="23">
        <f t="shared" si="14"/>
        <v>153</v>
      </c>
      <c r="O45" s="35">
        <f t="shared" ref="O45:P45" si="16">G45+K45</f>
        <v>9.9144000000000005</v>
      </c>
      <c r="P45" s="35">
        <f t="shared" si="16"/>
        <v>0</v>
      </c>
      <c r="Q45" s="35">
        <f>O45+P45</f>
        <v>9.9144000000000005</v>
      </c>
      <c r="R45" s="23">
        <f t="shared" si="15"/>
        <v>306153</v>
      </c>
      <c r="S45" s="23">
        <v>2001</v>
      </c>
      <c r="T45" s="47"/>
      <c r="U45" s="47"/>
      <c r="V45" s="8"/>
      <c r="W45" s="8"/>
      <c r="X45" s="11"/>
      <c r="Y45" s="11"/>
      <c r="Z45" s="11"/>
      <c r="AA45" s="9"/>
      <c r="AB45" s="9"/>
      <c r="AC45" s="9"/>
      <c r="AD45" s="9"/>
      <c r="AE45" s="9"/>
      <c r="AF45" s="9"/>
      <c r="AG45" s="9"/>
      <c r="AH45" s="9"/>
      <c r="AI45" s="9"/>
    </row>
    <row r="46" spans="1:35" ht="33.75" customHeight="1" x14ac:dyDescent="0.55000000000000004">
      <c r="A46" s="111"/>
      <c r="B46" s="47"/>
      <c r="C46" s="111"/>
      <c r="D46" s="114"/>
      <c r="E46" s="48" t="s">
        <v>0</v>
      </c>
      <c r="F46" s="12">
        <f t="shared" ref="F46:R46" si="17">SUM(F42:F45)</f>
        <v>716</v>
      </c>
      <c r="G46" s="12">
        <f t="shared" si="17"/>
        <v>7.452</v>
      </c>
      <c r="H46" s="12">
        <f t="shared" si="17"/>
        <v>0</v>
      </c>
      <c r="I46" s="12">
        <f t="shared" si="17"/>
        <v>7.452</v>
      </c>
      <c r="J46" s="90">
        <f t="shared" si="17"/>
        <v>38</v>
      </c>
      <c r="K46" s="12">
        <f t="shared" si="17"/>
        <v>2.4624000000000001</v>
      </c>
      <c r="L46" s="12">
        <f t="shared" si="17"/>
        <v>0</v>
      </c>
      <c r="M46" s="12">
        <f t="shared" si="17"/>
        <v>2.4624000000000001</v>
      </c>
      <c r="N46" s="12">
        <f t="shared" si="17"/>
        <v>754</v>
      </c>
      <c r="O46" s="12">
        <f t="shared" si="17"/>
        <v>9.9144000000000005</v>
      </c>
      <c r="P46" s="12">
        <f t="shared" si="17"/>
        <v>0</v>
      </c>
      <c r="Q46" s="12">
        <f t="shared" si="17"/>
        <v>9.9144000000000005</v>
      </c>
      <c r="R46" s="12">
        <f t="shared" si="17"/>
        <v>333243.64</v>
      </c>
      <c r="S46" s="47"/>
      <c r="T46" s="47"/>
      <c r="U46" s="47"/>
      <c r="V46" s="8"/>
      <c r="W46" s="8"/>
      <c r="X46" s="11"/>
      <c r="Y46" s="11"/>
      <c r="Z46" s="11"/>
      <c r="AA46" s="9"/>
      <c r="AB46" s="9"/>
      <c r="AC46" s="9"/>
      <c r="AD46" s="9"/>
      <c r="AE46" s="9"/>
      <c r="AF46" s="9"/>
      <c r="AG46" s="9"/>
      <c r="AH46" s="9"/>
      <c r="AI46" s="9"/>
    </row>
    <row r="47" spans="1:35" ht="33.75" customHeight="1" x14ac:dyDescent="0.55000000000000004">
      <c r="A47" s="39"/>
      <c r="B47" s="49"/>
      <c r="C47" s="49"/>
      <c r="D47" s="42"/>
      <c r="E47" s="50"/>
      <c r="F47" s="51"/>
      <c r="G47" s="51"/>
      <c r="H47" s="51"/>
      <c r="I47" s="51"/>
      <c r="J47" s="91"/>
      <c r="K47" s="51"/>
      <c r="L47" s="51"/>
      <c r="M47" s="51"/>
      <c r="N47" s="51"/>
      <c r="O47" s="51"/>
      <c r="P47" s="51"/>
      <c r="Q47" s="51"/>
      <c r="R47" s="51"/>
      <c r="S47" s="52"/>
      <c r="T47" s="53"/>
      <c r="U47" s="54"/>
      <c r="V47" s="8"/>
      <c r="W47" s="8"/>
      <c r="X47" s="11"/>
      <c r="Y47" s="11"/>
      <c r="Z47" s="11"/>
      <c r="AA47" s="9"/>
      <c r="AB47" s="9"/>
      <c r="AC47" s="9"/>
      <c r="AD47" s="9"/>
      <c r="AE47" s="9"/>
      <c r="AF47" s="9"/>
      <c r="AG47" s="9"/>
      <c r="AH47" s="9"/>
      <c r="AI47" s="9"/>
    </row>
    <row r="48" spans="1:35" ht="33.75" customHeight="1" x14ac:dyDescent="0.55000000000000004">
      <c r="A48" s="124">
        <v>3</v>
      </c>
      <c r="B48" s="55"/>
      <c r="C48" s="140" t="s">
        <v>8</v>
      </c>
      <c r="D48" s="124" t="s">
        <v>9</v>
      </c>
      <c r="E48" s="22" t="s">
        <v>41</v>
      </c>
      <c r="F48" s="23">
        <v>429</v>
      </c>
      <c r="G48" s="23">
        <v>0</v>
      </c>
      <c r="H48" s="23">
        <v>0</v>
      </c>
      <c r="I48" s="23">
        <v>0</v>
      </c>
      <c r="J48" s="92">
        <v>0</v>
      </c>
      <c r="K48" s="23">
        <v>0</v>
      </c>
      <c r="L48" s="23">
        <v>0</v>
      </c>
      <c r="M48" s="23">
        <v>0</v>
      </c>
      <c r="N48" s="31">
        <f t="shared" ref="N48:N56" si="18">F48+J48</f>
        <v>429</v>
      </c>
      <c r="O48" s="23">
        <v>0</v>
      </c>
      <c r="P48" s="23">
        <v>0</v>
      </c>
      <c r="Q48" s="23">
        <v>0</v>
      </c>
      <c r="R48" s="23">
        <f t="shared" ref="R48:R56" si="19">N48*S48</f>
        <v>36894</v>
      </c>
      <c r="S48" s="24">
        <v>86</v>
      </c>
      <c r="T48" s="20"/>
      <c r="U48" s="25"/>
      <c r="V48" s="8"/>
      <c r="W48" s="8"/>
      <c r="X48" s="11"/>
      <c r="Y48" s="11"/>
      <c r="Z48" s="11"/>
      <c r="AA48" s="9"/>
      <c r="AB48" s="9"/>
      <c r="AC48" s="9"/>
      <c r="AD48" s="9"/>
      <c r="AE48" s="9"/>
      <c r="AF48" s="9"/>
      <c r="AG48" s="9"/>
      <c r="AH48" s="9"/>
      <c r="AI48" s="9"/>
    </row>
    <row r="49" spans="1:35" ht="33.75" customHeight="1" x14ac:dyDescent="0.55000000000000004">
      <c r="A49" s="110"/>
      <c r="B49" s="55"/>
      <c r="C49" s="110"/>
      <c r="D49" s="110"/>
      <c r="E49" s="22" t="s">
        <v>42</v>
      </c>
      <c r="F49" s="31">
        <v>241</v>
      </c>
      <c r="G49" s="23">
        <v>0</v>
      </c>
      <c r="H49" s="23">
        <v>0</v>
      </c>
      <c r="I49" s="23">
        <v>0</v>
      </c>
      <c r="J49" s="92">
        <v>0</v>
      </c>
      <c r="K49" s="23">
        <v>0</v>
      </c>
      <c r="L49" s="23">
        <v>0</v>
      </c>
      <c r="M49" s="23">
        <v>0</v>
      </c>
      <c r="N49" s="31">
        <f t="shared" si="18"/>
        <v>241</v>
      </c>
      <c r="O49" s="23">
        <v>0</v>
      </c>
      <c r="P49" s="23">
        <v>0</v>
      </c>
      <c r="Q49" s="23">
        <v>0</v>
      </c>
      <c r="R49" s="23">
        <f t="shared" si="19"/>
        <v>16870</v>
      </c>
      <c r="S49" s="24">
        <v>70</v>
      </c>
      <c r="T49" s="20"/>
      <c r="U49" s="25"/>
      <c r="V49" s="8"/>
      <c r="W49" s="8"/>
      <c r="X49" s="11"/>
      <c r="Y49" s="11"/>
      <c r="Z49" s="11"/>
      <c r="AA49" s="9"/>
      <c r="AB49" s="9"/>
      <c r="AC49" s="9"/>
      <c r="AD49" s="9"/>
      <c r="AE49" s="9"/>
      <c r="AF49" s="9"/>
      <c r="AG49" s="9"/>
      <c r="AH49" s="9"/>
      <c r="AI49" s="9"/>
    </row>
    <row r="50" spans="1:35" ht="33.75" customHeight="1" x14ac:dyDescent="0.55000000000000004">
      <c r="A50" s="110"/>
      <c r="B50" s="55"/>
      <c r="C50" s="110"/>
      <c r="D50" s="110"/>
      <c r="E50" s="30" t="s">
        <v>2</v>
      </c>
      <c r="F50" s="23">
        <v>4714</v>
      </c>
      <c r="G50" s="23">
        <v>0</v>
      </c>
      <c r="H50" s="23">
        <v>0</v>
      </c>
      <c r="I50" s="23">
        <v>0</v>
      </c>
      <c r="J50" s="92">
        <v>0</v>
      </c>
      <c r="K50" s="23">
        <v>0</v>
      </c>
      <c r="L50" s="23">
        <v>0</v>
      </c>
      <c r="M50" s="23">
        <v>0</v>
      </c>
      <c r="N50" s="31">
        <f t="shared" si="18"/>
        <v>4714</v>
      </c>
      <c r="O50" s="23">
        <v>0</v>
      </c>
      <c r="P50" s="23">
        <v>0</v>
      </c>
      <c r="Q50" s="23">
        <v>0</v>
      </c>
      <c r="R50" s="23">
        <f t="shared" si="19"/>
        <v>143682.72</v>
      </c>
      <c r="S50" s="32">
        <v>30.48</v>
      </c>
      <c r="T50" s="27"/>
      <c r="U50" s="28"/>
      <c r="V50" s="8"/>
      <c r="W50" s="8"/>
      <c r="X50" s="11"/>
      <c r="Y50" s="11"/>
      <c r="Z50" s="11"/>
      <c r="AA50" s="9"/>
      <c r="AB50" s="9"/>
      <c r="AC50" s="9"/>
      <c r="AD50" s="9"/>
      <c r="AE50" s="9"/>
      <c r="AF50" s="9"/>
      <c r="AG50" s="9"/>
      <c r="AH50" s="9"/>
      <c r="AI50" s="9"/>
    </row>
    <row r="51" spans="1:35" ht="56.25" customHeight="1" x14ac:dyDescent="0.55000000000000004">
      <c r="A51" s="110"/>
      <c r="B51" s="55"/>
      <c r="C51" s="110"/>
      <c r="D51" s="110"/>
      <c r="E51" s="56" t="s">
        <v>1</v>
      </c>
      <c r="F51" s="23">
        <v>544</v>
      </c>
      <c r="G51" s="23">
        <v>0</v>
      </c>
      <c r="H51" s="23">
        <v>0</v>
      </c>
      <c r="I51" s="23">
        <v>0</v>
      </c>
      <c r="J51" s="92">
        <v>0</v>
      </c>
      <c r="K51" s="23">
        <v>0</v>
      </c>
      <c r="L51" s="23">
        <v>0</v>
      </c>
      <c r="M51" s="23">
        <v>0</v>
      </c>
      <c r="N51" s="31">
        <f t="shared" si="18"/>
        <v>544</v>
      </c>
      <c r="O51" s="23">
        <v>0</v>
      </c>
      <c r="P51" s="23">
        <v>0</v>
      </c>
      <c r="Q51" s="23">
        <v>0</v>
      </c>
      <c r="R51" s="23">
        <f t="shared" si="19"/>
        <v>16581.12</v>
      </c>
      <c r="S51" s="24">
        <v>30.48</v>
      </c>
      <c r="T51" s="27"/>
      <c r="U51" s="28"/>
      <c r="V51" s="8"/>
      <c r="W51" s="8"/>
      <c r="X51" s="11"/>
      <c r="Y51" s="11"/>
      <c r="Z51" s="11"/>
      <c r="AA51" s="9"/>
      <c r="AB51" s="9"/>
      <c r="AC51" s="9"/>
      <c r="AD51" s="9"/>
      <c r="AE51" s="9"/>
      <c r="AF51" s="9"/>
      <c r="AG51" s="9"/>
      <c r="AH51" s="9"/>
      <c r="AI51" s="9"/>
    </row>
    <row r="52" spans="1:35" ht="33.75" customHeight="1" x14ac:dyDescent="0.55000000000000004">
      <c r="A52" s="110"/>
      <c r="B52" s="55"/>
      <c r="C52" s="110"/>
      <c r="D52" s="110"/>
      <c r="E52" s="26" t="s">
        <v>43</v>
      </c>
      <c r="F52" s="23">
        <v>211</v>
      </c>
      <c r="G52" s="23">
        <v>0</v>
      </c>
      <c r="H52" s="23">
        <v>0</v>
      </c>
      <c r="I52" s="23">
        <v>0</v>
      </c>
      <c r="J52" s="92">
        <v>0</v>
      </c>
      <c r="K52" s="23">
        <v>0</v>
      </c>
      <c r="L52" s="23">
        <v>0</v>
      </c>
      <c r="M52" s="23">
        <v>0</v>
      </c>
      <c r="N52" s="31">
        <f t="shared" si="18"/>
        <v>211</v>
      </c>
      <c r="O52" s="23">
        <v>0</v>
      </c>
      <c r="P52" s="23">
        <v>0</v>
      </c>
      <c r="Q52" s="23">
        <v>0</v>
      </c>
      <c r="R52" s="23">
        <f t="shared" si="19"/>
        <v>6431.28</v>
      </c>
      <c r="S52" s="24">
        <v>30.48</v>
      </c>
      <c r="T52" s="27"/>
      <c r="U52" s="28"/>
      <c r="V52" s="8"/>
      <c r="W52" s="8"/>
      <c r="X52" s="11"/>
      <c r="Y52" s="11"/>
      <c r="Z52" s="11"/>
      <c r="AA52" s="9"/>
      <c r="AB52" s="9"/>
      <c r="AC52" s="9"/>
      <c r="AD52" s="9"/>
      <c r="AE52" s="9"/>
      <c r="AF52" s="9"/>
      <c r="AG52" s="9"/>
      <c r="AH52" s="9"/>
      <c r="AI52" s="9"/>
    </row>
    <row r="53" spans="1:35" ht="33.75" customHeight="1" x14ac:dyDescent="0.55000000000000004">
      <c r="A53" s="135"/>
      <c r="B53" s="55"/>
      <c r="C53" s="135"/>
      <c r="D53" s="135"/>
      <c r="E53" s="22" t="s">
        <v>68</v>
      </c>
      <c r="F53" s="23">
        <v>405</v>
      </c>
      <c r="G53" s="23">
        <v>0</v>
      </c>
      <c r="H53" s="23">
        <v>0</v>
      </c>
      <c r="I53" s="23">
        <v>0</v>
      </c>
      <c r="J53" s="92">
        <v>118</v>
      </c>
      <c r="K53" s="23">
        <v>0</v>
      </c>
      <c r="L53" s="23">
        <v>0</v>
      </c>
      <c r="M53" s="23">
        <v>0</v>
      </c>
      <c r="N53" s="23">
        <f t="shared" si="18"/>
        <v>523</v>
      </c>
      <c r="O53" s="23">
        <v>0</v>
      </c>
      <c r="P53" s="23">
        <v>0</v>
      </c>
      <c r="Q53" s="23">
        <v>0</v>
      </c>
      <c r="R53" s="23">
        <f t="shared" si="19"/>
        <v>57007</v>
      </c>
      <c r="S53" s="24">
        <v>109</v>
      </c>
      <c r="T53" s="27"/>
      <c r="U53" s="28"/>
      <c r="V53" s="8"/>
      <c r="W53" s="8"/>
      <c r="X53" s="11"/>
      <c r="Y53" s="11"/>
      <c r="Z53" s="11"/>
      <c r="AA53" s="9"/>
      <c r="AB53" s="9"/>
      <c r="AC53" s="9"/>
      <c r="AD53" s="9"/>
      <c r="AE53" s="9"/>
      <c r="AF53" s="9"/>
      <c r="AG53" s="9"/>
      <c r="AH53" s="9"/>
      <c r="AI53" s="9"/>
    </row>
    <row r="54" spans="1:35" ht="33.75" customHeight="1" x14ac:dyDescent="0.55000000000000004">
      <c r="A54" s="135"/>
      <c r="B54" s="55"/>
      <c r="C54" s="135"/>
      <c r="D54" s="135"/>
      <c r="E54" s="22" t="s">
        <v>56</v>
      </c>
      <c r="F54" s="23">
        <v>433</v>
      </c>
      <c r="G54" s="23">
        <v>0</v>
      </c>
      <c r="H54" s="23">
        <v>0</v>
      </c>
      <c r="I54" s="23">
        <v>0</v>
      </c>
      <c r="J54" s="92">
        <v>32</v>
      </c>
      <c r="K54" s="23">
        <v>0</v>
      </c>
      <c r="L54" s="23">
        <v>0</v>
      </c>
      <c r="M54" s="23">
        <v>0</v>
      </c>
      <c r="N54" s="23">
        <f t="shared" si="18"/>
        <v>465</v>
      </c>
      <c r="O54" s="23">
        <v>0</v>
      </c>
      <c r="P54" s="23">
        <v>0</v>
      </c>
      <c r="Q54" s="23">
        <v>0</v>
      </c>
      <c r="R54" s="23">
        <f t="shared" si="19"/>
        <v>50685</v>
      </c>
      <c r="S54" s="24">
        <v>109</v>
      </c>
      <c r="T54" s="27"/>
      <c r="U54" s="28"/>
      <c r="V54" s="8"/>
      <c r="W54" s="8"/>
      <c r="X54" s="11"/>
      <c r="Y54" s="11"/>
      <c r="Z54" s="11"/>
      <c r="AA54" s="9"/>
      <c r="AB54" s="9"/>
      <c r="AC54" s="9"/>
      <c r="AD54" s="9"/>
      <c r="AE54" s="9"/>
      <c r="AF54" s="9"/>
      <c r="AG54" s="9"/>
      <c r="AH54" s="9"/>
      <c r="AI54" s="9"/>
    </row>
    <row r="55" spans="1:35" ht="33.75" customHeight="1" x14ac:dyDescent="0.55000000000000004">
      <c r="A55" s="110"/>
      <c r="B55" s="55"/>
      <c r="C55" s="110"/>
      <c r="D55" s="110"/>
      <c r="E55" s="22" t="s">
        <v>61</v>
      </c>
      <c r="F55" s="23">
        <v>519</v>
      </c>
      <c r="G55" s="35">
        <f t="shared" ref="G55:G56" si="20">F55*64.8/1000</f>
        <v>33.6312</v>
      </c>
      <c r="H55" s="23">
        <v>0</v>
      </c>
      <c r="I55" s="35">
        <f t="shared" ref="I55:I56" si="21">G55+H55</f>
        <v>33.6312</v>
      </c>
      <c r="J55" s="92">
        <v>0</v>
      </c>
      <c r="K55" s="23">
        <f t="shared" ref="K55:K56" si="22">J55*64.8/1000</f>
        <v>0</v>
      </c>
      <c r="L55" s="23">
        <v>0</v>
      </c>
      <c r="M55" s="23">
        <f t="shared" ref="M55:M56" si="23">SUM(K55:L55)</f>
        <v>0</v>
      </c>
      <c r="N55" s="31">
        <f t="shared" si="18"/>
        <v>519</v>
      </c>
      <c r="O55" s="35">
        <f t="shared" ref="O55:P55" si="24">G55+K55</f>
        <v>33.6312</v>
      </c>
      <c r="P55" s="35">
        <f t="shared" si="24"/>
        <v>0</v>
      </c>
      <c r="Q55" s="35">
        <f t="shared" ref="Q55:Q56" si="25">O55+P55</f>
        <v>33.6312</v>
      </c>
      <c r="R55" s="23">
        <f t="shared" si="19"/>
        <v>1038519</v>
      </c>
      <c r="S55" s="23">
        <v>2001</v>
      </c>
      <c r="T55" s="20"/>
      <c r="U55" s="20"/>
      <c r="V55" s="8"/>
      <c r="W55" s="8"/>
      <c r="X55" s="11"/>
      <c r="Y55" s="11"/>
      <c r="Z55" s="11"/>
      <c r="AA55" s="9"/>
      <c r="AB55" s="9"/>
      <c r="AC55" s="9"/>
      <c r="AD55" s="9"/>
      <c r="AE55" s="9"/>
      <c r="AF55" s="9"/>
      <c r="AG55" s="9"/>
      <c r="AH55" s="9"/>
      <c r="AI55" s="9"/>
    </row>
    <row r="56" spans="1:35" ht="33.75" customHeight="1" x14ac:dyDescent="0.55000000000000004">
      <c r="A56" s="111"/>
      <c r="B56" s="55"/>
      <c r="C56" s="110"/>
      <c r="D56" s="111"/>
      <c r="E56" s="22" t="s">
        <v>69</v>
      </c>
      <c r="F56" s="23">
        <v>682</v>
      </c>
      <c r="G56" s="35">
        <f t="shared" si="20"/>
        <v>44.193599999999996</v>
      </c>
      <c r="H56" s="23">
        <v>0</v>
      </c>
      <c r="I56" s="35">
        <f t="shared" si="21"/>
        <v>44.193599999999996</v>
      </c>
      <c r="J56" s="92">
        <v>0</v>
      </c>
      <c r="K56" s="23">
        <f t="shared" si="22"/>
        <v>0</v>
      </c>
      <c r="L56" s="23">
        <v>0</v>
      </c>
      <c r="M56" s="23">
        <f t="shared" si="23"/>
        <v>0</v>
      </c>
      <c r="N56" s="31">
        <f t="shared" si="18"/>
        <v>682</v>
      </c>
      <c r="O56" s="35">
        <f t="shared" ref="O56:P56" si="26">G56+K56</f>
        <v>44.193599999999996</v>
      </c>
      <c r="P56" s="35">
        <f t="shared" si="26"/>
        <v>0</v>
      </c>
      <c r="Q56" s="35">
        <f t="shared" si="25"/>
        <v>44.193599999999996</v>
      </c>
      <c r="R56" s="23">
        <f t="shared" si="19"/>
        <v>1364682</v>
      </c>
      <c r="S56" s="23">
        <v>2001</v>
      </c>
      <c r="T56" s="20"/>
      <c r="U56" s="20"/>
      <c r="V56" s="8"/>
      <c r="W56" s="8"/>
      <c r="X56" s="11"/>
      <c r="Y56" s="11"/>
      <c r="Z56" s="11"/>
      <c r="AA56" s="9"/>
      <c r="AB56" s="9"/>
      <c r="AC56" s="9"/>
      <c r="AD56" s="9"/>
      <c r="AE56" s="9"/>
      <c r="AF56" s="9"/>
      <c r="AG56" s="9"/>
      <c r="AH56" s="9"/>
      <c r="AI56" s="9"/>
    </row>
    <row r="57" spans="1:35" ht="33.75" customHeight="1" x14ac:dyDescent="0.55000000000000004">
      <c r="A57" s="38"/>
      <c r="B57" s="17"/>
      <c r="C57" s="119" t="s">
        <v>0</v>
      </c>
      <c r="D57" s="108"/>
      <c r="E57" s="109"/>
      <c r="F57" s="40">
        <f t="shared" ref="F57:R57" si="27">SUM(F48:F56)</f>
        <v>8178</v>
      </c>
      <c r="G57" s="40">
        <f t="shared" si="27"/>
        <v>77.824799999999996</v>
      </c>
      <c r="H57" s="40">
        <f t="shared" si="27"/>
        <v>0</v>
      </c>
      <c r="I57" s="40">
        <f t="shared" si="27"/>
        <v>77.824799999999996</v>
      </c>
      <c r="J57" s="88">
        <f t="shared" si="27"/>
        <v>150</v>
      </c>
      <c r="K57" s="40">
        <f t="shared" si="27"/>
        <v>0</v>
      </c>
      <c r="L57" s="40">
        <f t="shared" si="27"/>
        <v>0</v>
      </c>
      <c r="M57" s="40">
        <f t="shared" si="27"/>
        <v>0</v>
      </c>
      <c r="N57" s="40">
        <f t="shared" si="27"/>
        <v>8328</v>
      </c>
      <c r="O57" s="40">
        <f t="shared" si="27"/>
        <v>77.824799999999996</v>
      </c>
      <c r="P57" s="40">
        <f t="shared" si="27"/>
        <v>0</v>
      </c>
      <c r="Q57" s="40">
        <f t="shared" si="27"/>
        <v>77.824799999999996</v>
      </c>
      <c r="R57" s="40">
        <f t="shared" si="27"/>
        <v>2731352.12</v>
      </c>
      <c r="S57" s="19"/>
      <c r="T57" s="41">
        <f>R57/(Q57*1000)</f>
        <v>35.096166260626433</v>
      </c>
      <c r="U57" s="20"/>
      <c r="V57" s="8"/>
      <c r="W57" s="8"/>
      <c r="X57" s="11"/>
      <c r="Y57" s="11"/>
      <c r="Z57" s="11"/>
      <c r="AA57" s="9"/>
      <c r="AB57" s="9"/>
      <c r="AC57" s="9"/>
      <c r="AD57" s="9"/>
      <c r="AE57" s="9"/>
      <c r="AF57" s="9"/>
      <c r="AG57" s="9"/>
      <c r="AH57" s="9"/>
      <c r="AI57" s="9"/>
    </row>
    <row r="58" spans="1:35" ht="33.75" customHeight="1" x14ac:dyDescent="0.55000000000000004">
      <c r="A58" s="58"/>
      <c r="B58" s="58"/>
      <c r="C58" s="58"/>
      <c r="D58" s="58"/>
      <c r="E58" s="58"/>
      <c r="F58" s="6"/>
      <c r="G58" s="6"/>
      <c r="H58" s="6"/>
      <c r="I58" s="6"/>
      <c r="J58" s="85"/>
      <c r="K58" s="6"/>
      <c r="L58" s="6"/>
      <c r="M58" s="6"/>
      <c r="N58" s="6"/>
      <c r="O58" s="6"/>
      <c r="P58" s="6"/>
      <c r="Q58" s="6"/>
      <c r="R58" s="6"/>
      <c r="S58" s="59"/>
      <c r="T58" s="60"/>
      <c r="U58" s="10"/>
      <c r="V58" s="8"/>
      <c r="W58" s="8"/>
      <c r="X58" s="11"/>
      <c r="Y58" s="11"/>
      <c r="Z58" s="11"/>
      <c r="AA58" s="9"/>
      <c r="AB58" s="9"/>
      <c r="AC58" s="9"/>
      <c r="AD58" s="9"/>
      <c r="AE58" s="9"/>
      <c r="AF58" s="9"/>
      <c r="AG58" s="9"/>
      <c r="AH58" s="9"/>
      <c r="AI58" s="9"/>
    </row>
    <row r="59" spans="1:35" ht="52.5" customHeight="1" x14ac:dyDescent="0.55000000000000004">
      <c r="A59" s="136">
        <v>4</v>
      </c>
      <c r="B59" s="55"/>
      <c r="C59" s="122" t="s">
        <v>11</v>
      </c>
      <c r="D59" s="124"/>
      <c r="E59" s="22" t="s">
        <v>41</v>
      </c>
      <c r="F59" s="31">
        <v>358</v>
      </c>
      <c r="G59" s="23">
        <v>0</v>
      </c>
      <c r="H59" s="23">
        <v>0</v>
      </c>
      <c r="I59" s="23">
        <v>0</v>
      </c>
      <c r="J59" s="92">
        <v>0</v>
      </c>
      <c r="K59" s="23">
        <v>0</v>
      </c>
      <c r="L59" s="23">
        <v>0</v>
      </c>
      <c r="M59" s="23">
        <v>0</v>
      </c>
      <c r="N59" s="31">
        <f t="shared" ref="N59" si="28">F59+J59</f>
        <v>358</v>
      </c>
      <c r="O59" s="23">
        <v>0</v>
      </c>
      <c r="P59" s="23">
        <v>0</v>
      </c>
      <c r="Q59" s="23">
        <v>0</v>
      </c>
      <c r="R59" s="23">
        <f t="shared" ref="R59" si="29">N59*S59</f>
        <v>30788</v>
      </c>
      <c r="S59" s="24">
        <v>86</v>
      </c>
      <c r="T59" s="20"/>
      <c r="U59" s="63"/>
      <c r="V59" s="8"/>
      <c r="W59" s="8"/>
      <c r="X59" s="11"/>
      <c r="Y59" s="11"/>
      <c r="Z59" s="11"/>
      <c r="AA59" s="9"/>
      <c r="AB59" s="9"/>
      <c r="AC59" s="9"/>
      <c r="AD59" s="9"/>
      <c r="AE59" s="9"/>
      <c r="AF59" s="9"/>
      <c r="AG59" s="9"/>
      <c r="AH59" s="9"/>
      <c r="AI59" s="9"/>
    </row>
    <row r="60" spans="1:35" s="106" customFormat="1" ht="52.5" customHeight="1" x14ac:dyDescent="0.55000000000000004">
      <c r="A60" s="137"/>
      <c r="B60" s="105"/>
      <c r="C60" s="123"/>
      <c r="D60" s="125"/>
      <c r="E60" s="22" t="s">
        <v>42</v>
      </c>
      <c r="F60" s="4">
        <v>246</v>
      </c>
      <c r="G60" s="1">
        <v>0</v>
      </c>
      <c r="H60" s="1">
        <v>0</v>
      </c>
      <c r="I60" s="1">
        <v>0</v>
      </c>
      <c r="J60" s="92">
        <v>0</v>
      </c>
      <c r="K60" s="1">
        <v>0</v>
      </c>
      <c r="L60" s="4">
        <v>0</v>
      </c>
      <c r="M60" s="1">
        <v>0</v>
      </c>
      <c r="N60" s="31">
        <f t="shared" ref="N60:N61" si="30">F60+J60</f>
        <v>246</v>
      </c>
      <c r="O60" s="1">
        <v>0</v>
      </c>
      <c r="P60" s="1">
        <v>0</v>
      </c>
      <c r="Q60" s="23">
        <v>0</v>
      </c>
      <c r="R60" s="23">
        <f t="shared" ref="R60" si="31">N60*S60</f>
        <v>17220</v>
      </c>
      <c r="S60" s="3" t="s">
        <v>10</v>
      </c>
      <c r="T60" s="20"/>
      <c r="U60" s="63"/>
      <c r="V60" s="8"/>
      <c r="W60" s="8"/>
      <c r="X60" s="107"/>
      <c r="Y60" s="107"/>
      <c r="Z60" s="107"/>
      <c r="AA60" s="9"/>
      <c r="AB60" s="9"/>
      <c r="AC60" s="9"/>
      <c r="AD60" s="9"/>
      <c r="AE60" s="9"/>
      <c r="AF60" s="9"/>
      <c r="AG60" s="9"/>
      <c r="AH60" s="9"/>
      <c r="AI60" s="9"/>
    </row>
    <row r="61" spans="1:35" ht="52.5" customHeight="1" x14ac:dyDescent="0.55000000000000004">
      <c r="A61" s="114"/>
      <c r="B61" s="36"/>
      <c r="C61" s="111"/>
      <c r="D61" s="111"/>
      <c r="E61" s="26" t="s">
        <v>43</v>
      </c>
      <c r="F61" s="4">
        <v>0</v>
      </c>
      <c r="G61" s="23">
        <v>0</v>
      </c>
      <c r="H61" s="23">
        <v>0</v>
      </c>
      <c r="I61" s="23">
        <v>0</v>
      </c>
      <c r="J61" s="94">
        <v>515</v>
      </c>
      <c r="K61" s="23">
        <v>0</v>
      </c>
      <c r="L61" s="23">
        <v>0</v>
      </c>
      <c r="M61" s="23">
        <v>0</v>
      </c>
      <c r="N61" s="31">
        <f t="shared" si="30"/>
        <v>515</v>
      </c>
      <c r="O61" s="23">
        <v>0</v>
      </c>
      <c r="P61" s="23">
        <v>0</v>
      </c>
      <c r="Q61" s="23">
        <v>0</v>
      </c>
      <c r="R61" s="23">
        <f t="shared" ref="R61" si="32">S61*N61</f>
        <v>15697.2</v>
      </c>
      <c r="S61" s="32">
        <v>30.48</v>
      </c>
      <c r="T61" s="20"/>
      <c r="U61" s="20"/>
      <c r="V61" s="8"/>
      <c r="W61" s="8"/>
      <c r="X61" s="11"/>
      <c r="Y61" s="11"/>
      <c r="Z61" s="11"/>
      <c r="AA61" s="9"/>
      <c r="AB61" s="9"/>
      <c r="AC61" s="9"/>
      <c r="AD61" s="9"/>
      <c r="AE61" s="9"/>
      <c r="AF61" s="9"/>
      <c r="AG61" s="9"/>
      <c r="AH61" s="9"/>
      <c r="AI61" s="9"/>
    </row>
    <row r="62" spans="1:35" ht="33.75" customHeight="1" x14ac:dyDescent="0.55000000000000004">
      <c r="A62" s="38"/>
      <c r="B62" s="17"/>
      <c r="C62" s="119" t="s">
        <v>0</v>
      </c>
      <c r="D62" s="108"/>
      <c r="E62" s="109"/>
      <c r="F62" s="57">
        <f>SUM(F59:F61)</f>
        <v>604</v>
      </c>
      <c r="G62" s="40">
        <f t="shared" ref="G62:I62" si="33">SUM(G59)</f>
        <v>0</v>
      </c>
      <c r="H62" s="40">
        <f t="shared" si="33"/>
        <v>0</v>
      </c>
      <c r="I62" s="40">
        <f t="shared" si="33"/>
        <v>0</v>
      </c>
      <c r="J62" s="93">
        <f t="shared" ref="J62:R62" si="34">SUM(J59:J61)</f>
        <v>515</v>
      </c>
      <c r="K62" s="66">
        <f t="shared" si="34"/>
        <v>0</v>
      </c>
      <c r="L62" s="66">
        <f t="shared" si="34"/>
        <v>0</v>
      </c>
      <c r="M62" s="66">
        <f t="shared" si="34"/>
        <v>0</v>
      </c>
      <c r="N62" s="66">
        <f t="shared" si="34"/>
        <v>1119</v>
      </c>
      <c r="O62" s="66">
        <f t="shared" si="34"/>
        <v>0</v>
      </c>
      <c r="P62" s="66">
        <f t="shared" si="34"/>
        <v>0</v>
      </c>
      <c r="Q62" s="66">
        <f t="shared" si="34"/>
        <v>0</v>
      </c>
      <c r="R62" s="66">
        <f t="shared" si="34"/>
        <v>63705.2</v>
      </c>
      <c r="S62" s="19"/>
      <c r="T62" s="41"/>
      <c r="U62" s="20"/>
      <c r="V62" s="8"/>
      <c r="W62" s="8"/>
      <c r="X62" s="11"/>
      <c r="Y62" s="11"/>
      <c r="Z62" s="11"/>
      <c r="AA62" s="9"/>
      <c r="AB62" s="9"/>
      <c r="AC62" s="9"/>
      <c r="AD62" s="9"/>
      <c r="AE62" s="9"/>
      <c r="AF62" s="9"/>
      <c r="AG62" s="9"/>
      <c r="AH62" s="9"/>
      <c r="AI62" s="9"/>
    </row>
    <row r="63" spans="1:35" ht="33.75" customHeight="1" x14ac:dyDescent="0.55000000000000004">
      <c r="A63" s="61"/>
      <c r="B63" s="62"/>
      <c r="C63" s="61"/>
      <c r="D63" s="62"/>
      <c r="E63" s="64"/>
      <c r="F63" s="40"/>
      <c r="G63" s="40"/>
      <c r="H63" s="40"/>
      <c r="I63" s="40"/>
      <c r="J63" s="88"/>
      <c r="K63" s="40"/>
      <c r="L63" s="40"/>
      <c r="M63" s="40"/>
      <c r="N63" s="40"/>
      <c r="O63" s="40"/>
      <c r="P63" s="40"/>
      <c r="Q63" s="40"/>
      <c r="R63" s="40"/>
      <c r="S63" s="19"/>
      <c r="T63" s="41"/>
      <c r="U63" s="65"/>
      <c r="V63" s="8"/>
      <c r="W63" s="8"/>
      <c r="X63" s="11"/>
      <c r="Y63" s="11"/>
      <c r="Z63" s="11"/>
      <c r="AA63" s="9"/>
      <c r="AB63" s="9"/>
      <c r="AC63" s="9"/>
      <c r="AD63" s="9"/>
      <c r="AE63" s="9"/>
      <c r="AF63" s="9"/>
      <c r="AG63" s="9"/>
      <c r="AH63" s="9"/>
      <c r="AI63" s="9"/>
    </row>
    <row r="64" spans="1:35" ht="33.75" customHeight="1" x14ac:dyDescent="0.55000000000000004">
      <c r="A64" s="138"/>
      <c r="B64" s="108"/>
      <c r="C64" s="108"/>
      <c r="D64" s="62"/>
      <c r="E64" s="64"/>
      <c r="F64" s="40"/>
      <c r="G64" s="40"/>
      <c r="H64" s="40"/>
      <c r="I64" s="40"/>
      <c r="J64" s="88"/>
      <c r="K64" s="40"/>
      <c r="L64" s="40"/>
      <c r="M64" s="40"/>
      <c r="N64" s="40"/>
      <c r="O64" s="40"/>
      <c r="P64" s="40"/>
      <c r="Q64" s="40"/>
      <c r="R64" s="40"/>
      <c r="S64" s="19"/>
      <c r="T64" s="41"/>
      <c r="U64" s="65"/>
      <c r="V64" s="8"/>
      <c r="W64" s="8"/>
      <c r="X64" s="11"/>
      <c r="Y64" s="11"/>
      <c r="Z64" s="11"/>
      <c r="AA64" s="9"/>
      <c r="AB64" s="9"/>
      <c r="AC64" s="9"/>
      <c r="AD64" s="9"/>
      <c r="AE64" s="9"/>
      <c r="AF64" s="9"/>
      <c r="AG64" s="9"/>
      <c r="AH64" s="9"/>
      <c r="AI64" s="9"/>
    </row>
    <row r="65" spans="1:35" ht="33.75" customHeight="1" x14ac:dyDescent="0.55000000000000004">
      <c r="A65" s="129">
        <v>5</v>
      </c>
      <c r="B65" s="130"/>
      <c r="C65" s="120" t="s">
        <v>12</v>
      </c>
      <c r="D65" s="121"/>
      <c r="E65" s="22" t="s">
        <v>41</v>
      </c>
      <c r="F65" s="4">
        <v>20</v>
      </c>
      <c r="G65" s="1">
        <v>0</v>
      </c>
      <c r="H65" s="1">
        <v>0</v>
      </c>
      <c r="I65" s="1">
        <v>0</v>
      </c>
      <c r="J65" s="94">
        <v>0</v>
      </c>
      <c r="K65" s="1">
        <v>0</v>
      </c>
      <c r="L65" s="23">
        <v>0</v>
      </c>
      <c r="M65" s="1">
        <v>0</v>
      </c>
      <c r="N65" s="31">
        <f t="shared" ref="N65:N75" si="35">F65+J65</f>
        <v>20</v>
      </c>
      <c r="O65" s="1">
        <v>0</v>
      </c>
      <c r="P65" s="23">
        <v>0</v>
      </c>
      <c r="Q65" s="3">
        <f>F65+L65</f>
        <v>20</v>
      </c>
      <c r="R65" s="23">
        <f t="shared" ref="R65:R75" si="36">S65*N65</f>
        <v>1720</v>
      </c>
      <c r="S65" s="2">
        <v>86</v>
      </c>
      <c r="T65" s="3"/>
      <c r="U65" s="67"/>
      <c r="V65" s="68"/>
      <c r="W65" s="69"/>
      <c r="X65" s="11"/>
      <c r="Y65" s="11"/>
      <c r="Z65" s="11"/>
      <c r="AA65" s="9"/>
      <c r="AB65" s="9"/>
      <c r="AC65" s="9"/>
      <c r="AD65" s="9"/>
      <c r="AE65" s="9"/>
      <c r="AF65" s="9"/>
      <c r="AG65" s="9"/>
      <c r="AH65" s="9"/>
      <c r="AI65" s="9"/>
    </row>
    <row r="66" spans="1:35" ht="33.75" customHeight="1" x14ac:dyDescent="0.55000000000000004">
      <c r="A66" s="131"/>
      <c r="B66" s="132"/>
      <c r="C66" s="110"/>
      <c r="D66" s="113"/>
      <c r="E66" s="22" t="s">
        <v>42</v>
      </c>
      <c r="F66" s="4">
        <v>291</v>
      </c>
      <c r="G66" s="23">
        <v>0</v>
      </c>
      <c r="H66" s="23">
        <v>0</v>
      </c>
      <c r="I66" s="23">
        <v>0</v>
      </c>
      <c r="J66" s="94">
        <v>0</v>
      </c>
      <c r="K66" s="23">
        <v>0</v>
      </c>
      <c r="L66" s="23">
        <v>0</v>
      </c>
      <c r="M66" s="23">
        <v>0</v>
      </c>
      <c r="N66" s="31">
        <f t="shared" si="35"/>
        <v>291</v>
      </c>
      <c r="O66" s="23">
        <v>0</v>
      </c>
      <c r="P66" s="23">
        <v>0</v>
      </c>
      <c r="Q66" s="23">
        <v>0</v>
      </c>
      <c r="R66" s="23">
        <f t="shared" si="36"/>
        <v>20370</v>
      </c>
      <c r="S66" s="24">
        <v>70</v>
      </c>
      <c r="T66" s="20"/>
      <c r="U66" s="20"/>
      <c r="V66" s="8"/>
      <c r="W66" s="8"/>
      <c r="X66" s="11"/>
      <c r="Y66" s="11"/>
      <c r="Z66" s="11"/>
      <c r="AA66" s="9"/>
      <c r="AB66" s="9"/>
      <c r="AC66" s="9"/>
      <c r="AD66" s="9"/>
      <c r="AE66" s="9"/>
      <c r="AF66" s="9"/>
      <c r="AG66" s="9"/>
      <c r="AH66" s="9"/>
      <c r="AI66" s="9"/>
    </row>
    <row r="67" spans="1:35" ht="33.75" customHeight="1" x14ac:dyDescent="0.55000000000000004">
      <c r="A67" s="131"/>
      <c r="B67" s="132"/>
      <c r="C67" s="110"/>
      <c r="D67" s="113"/>
      <c r="E67" s="26" t="s">
        <v>43</v>
      </c>
      <c r="F67" s="4">
        <v>3727</v>
      </c>
      <c r="G67" s="23">
        <v>0</v>
      </c>
      <c r="H67" s="23">
        <v>0</v>
      </c>
      <c r="I67" s="23">
        <v>0</v>
      </c>
      <c r="J67" s="94">
        <v>0</v>
      </c>
      <c r="K67" s="23">
        <v>0</v>
      </c>
      <c r="L67" s="23">
        <v>0</v>
      </c>
      <c r="M67" s="23">
        <v>0</v>
      </c>
      <c r="N67" s="31">
        <f t="shared" si="35"/>
        <v>3727</v>
      </c>
      <c r="O67" s="23">
        <v>0</v>
      </c>
      <c r="P67" s="23">
        <v>0</v>
      </c>
      <c r="Q67" s="23">
        <v>0</v>
      </c>
      <c r="R67" s="23">
        <f t="shared" si="36"/>
        <v>113598.96</v>
      </c>
      <c r="S67" s="32">
        <v>30.48</v>
      </c>
      <c r="T67" s="20"/>
      <c r="U67" s="20"/>
      <c r="V67" s="8"/>
      <c r="W67" s="8"/>
      <c r="X67" s="11"/>
      <c r="Y67" s="11"/>
      <c r="Z67" s="11"/>
      <c r="AA67" s="9"/>
      <c r="AB67" s="9"/>
      <c r="AC67" s="9"/>
      <c r="AD67" s="9"/>
      <c r="AE67" s="9"/>
      <c r="AF67" s="9"/>
      <c r="AG67" s="9"/>
      <c r="AH67" s="9"/>
      <c r="AI67" s="9"/>
    </row>
    <row r="68" spans="1:35" ht="33.75" customHeight="1" x14ac:dyDescent="0.55000000000000004">
      <c r="A68" s="131"/>
      <c r="B68" s="132"/>
      <c r="C68" s="110"/>
      <c r="D68" s="113"/>
      <c r="E68" s="30" t="s">
        <v>2</v>
      </c>
      <c r="F68" s="23">
        <v>36</v>
      </c>
      <c r="G68" s="23">
        <v>0</v>
      </c>
      <c r="H68" s="23">
        <v>0</v>
      </c>
      <c r="I68" s="23">
        <v>0</v>
      </c>
      <c r="J68" s="94">
        <v>0</v>
      </c>
      <c r="K68" s="23">
        <v>0</v>
      </c>
      <c r="L68" s="23">
        <v>0</v>
      </c>
      <c r="M68" s="23">
        <v>0</v>
      </c>
      <c r="N68" s="31">
        <f t="shared" si="35"/>
        <v>36</v>
      </c>
      <c r="O68" s="23">
        <v>0</v>
      </c>
      <c r="P68" s="23">
        <v>0</v>
      </c>
      <c r="Q68" s="23">
        <v>0</v>
      </c>
      <c r="R68" s="23">
        <f t="shared" si="36"/>
        <v>1097.28</v>
      </c>
      <c r="S68" s="32">
        <v>30.48</v>
      </c>
      <c r="T68" s="20"/>
      <c r="U68" s="20"/>
      <c r="V68" s="8"/>
      <c r="W68" s="8"/>
      <c r="X68" s="11"/>
      <c r="Y68" s="11"/>
      <c r="Z68" s="11"/>
      <c r="AA68" s="9"/>
      <c r="AB68" s="9"/>
      <c r="AC68" s="9"/>
      <c r="AD68" s="9"/>
      <c r="AE68" s="9"/>
      <c r="AF68" s="9"/>
      <c r="AG68" s="9"/>
      <c r="AH68" s="9"/>
      <c r="AI68" s="9"/>
    </row>
    <row r="69" spans="1:35" ht="33.75" customHeight="1" x14ac:dyDescent="0.55000000000000004">
      <c r="A69" s="131"/>
      <c r="B69" s="132"/>
      <c r="C69" s="110"/>
      <c r="D69" s="113"/>
      <c r="E69" s="30" t="s">
        <v>13</v>
      </c>
      <c r="F69" s="23">
        <v>119</v>
      </c>
      <c r="G69" s="31">
        <v>0</v>
      </c>
      <c r="H69" s="31">
        <v>0</v>
      </c>
      <c r="I69" s="31">
        <v>0</v>
      </c>
      <c r="J69" s="94">
        <v>0</v>
      </c>
      <c r="K69" s="31">
        <v>0</v>
      </c>
      <c r="L69" s="31">
        <v>0</v>
      </c>
      <c r="M69" s="31">
        <v>0</v>
      </c>
      <c r="N69" s="31">
        <f t="shared" si="35"/>
        <v>119</v>
      </c>
      <c r="O69" s="31">
        <v>0</v>
      </c>
      <c r="P69" s="31">
        <v>0</v>
      </c>
      <c r="Q69" s="31">
        <v>0</v>
      </c>
      <c r="R69" s="23">
        <f t="shared" si="36"/>
        <v>12971</v>
      </c>
      <c r="S69" s="32">
        <v>109</v>
      </c>
      <c r="T69" s="20"/>
      <c r="U69" s="20"/>
      <c r="V69" s="8"/>
      <c r="W69" s="8"/>
      <c r="X69" s="11"/>
      <c r="Y69" s="11"/>
      <c r="Z69" s="11"/>
      <c r="AA69" s="9"/>
      <c r="AB69" s="9"/>
      <c r="AC69" s="9"/>
      <c r="AD69" s="9"/>
      <c r="AE69" s="9"/>
      <c r="AF69" s="9"/>
      <c r="AG69" s="9"/>
      <c r="AH69" s="9"/>
      <c r="AI69" s="9"/>
    </row>
    <row r="70" spans="1:35" ht="33.75" customHeight="1" x14ac:dyDescent="0.55000000000000004">
      <c r="A70" s="131"/>
      <c r="B70" s="132"/>
      <c r="C70" s="110"/>
      <c r="D70" s="113"/>
      <c r="E70" s="30" t="s">
        <v>14</v>
      </c>
      <c r="F70" s="23">
        <v>202</v>
      </c>
      <c r="G70" s="31">
        <v>0</v>
      </c>
      <c r="H70" s="31">
        <v>0</v>
      </c>
      <c r="I70" s="31">
        <v>0</v>
      </c>
      <c r="J70" s="94">
        <v>0</v>
      </c>
      <c r="K70" s="31">
        <v>0</v>
      </c>
      <c r="L70" s="31">
        <v>0</v>
      </c>
      <c r="M70" s="31">
        <v>0</v>
      </c>
      <c r="N70" s="31">
        <f t="shared" si="35"/>
        <v>202</v>
      </c>
      <c r="O70" s="31">
        <v>0</v>
      </c>
      <c r="P70" s="31">
        <v>0</v>
      </c>
      <c r="Q70" s="31">
        <v>0</v>
      </c>
      <c r="R70" s="23">
        <f t="shared" si="36"/>
        <v>22018</v>
      </c>
      <c r="S70" s="32">
        <v>109</v>
      </c>
      <c r="T70" s="20"/>
      <c r="U70" s="20"/>
      <c r="V70" s="8"/>
      <c r="W70" s="8"/>
      <c r="X70" s="11"/>
      <c r="Y70" s="11"/>
      <c r="Z70" s="11"/>
      <c r="AA70" s="9"/>
      <c r="AB70" s="9"/>
      <c r="AC70" s="9"/>
      <c r="AD70" s="9"/>
      <c r="AE70" s="9"/>
      <c r="AF70" s="9"/>
      <c r="AG70" s="9"/>
      <c r="AH70" s="9"/>
      <c r="AI70" s="9"/>
    </row>
    <row r="71" spans="1:35" ht="33.75" customHeight="1" x14ac:dyDescent="0.55000000000000004">
      <c r="A71" s="131"/>
      <c r="B71" s="132"/>
      <c r="C71" s="110"/>
      <c r="D71" s="113"/>
      <c r="E71" s="30" t="s">
        <v>15</v>
      </c>
      <c r="F71" s="23">
        <v>177</v>
      </c>
      <c r="G71" s="31">
        <v>0</v>
      </c>
      <c r="H71" s="31">
        <v>0</v>
      </c>
      <c r="I71" s="31">
        <v>0</v>
      </c>
      <c r="J71" s="94">
        <v>0</v>
      </c>
      <c r="K71" s="31">
        <v>0</v>
      </c>
      <c r="L71" s="31">
        <v>0</v>
      </c>
      <c r="M71" s="31">
        <v>0</v>
      </c>
      <c r="N71" s="31">
        <f t="shared" si="35"/>
        <v>177</v>
      </c>
      <c r="O71" s="31">
        <v>0</v>
      </c>
      <c r="P71" s="31">
        <v>0</v>
      </c>
      <c r="Q71" s="31">
        <v>0</v>
      </c>
      <c r="R71" s="23">
        <f t="shared" si="36"/>
        <v>19293</v>
      </c>
      <c r="S71" s="32">
        <v>109</v>
      </c>
      <c r="T71" s="20"/>
      <c r="U71" s="20"/>
      <c r="V71" s="8"/>
      <c r="W71" s="8"/>
      <c r="X71" s="11"/>
      <c r="Y71" s="11"/>
      <c r="Z71" s="11"/>
      <c r="AA71" s="9"/>
      <c r="AB71" s="9"/>
      <c r="AC71" s="9"/>
      <c r="AD71" s="9"/>
      <c r="AE71" s="9"/>
      <c r="AF71" s="9"/>
      <c r="AG71" s="9"/>
      <c r="AH71" s="9"/>
      <c r="AI71" s="9"/>
    </row>
    <row r="72" spans="1:35" ht="33.75" customHeight="1" x14ac:dyDescent="0.55000000000000004">
      <c r="A72" s="131"/>
      <c r="B72" s="132"/>
      <c r="C72" s="110"/>
      <c r="D72" s="113"/>
      <c r="E72" s="30" t="s">
        <v>16</v>
      </c>
      <c r="F72" s="23">
        <v>118</v>
      </c>
      <c r="G72" s="31">
        <v>0</v>
      </c>
      <c r="H72" s="31">
        <v>0</v>
      </c>
      <c r="I72" s="31">
        <v>0</v>
      </c>
      <c r="J72" s="94">
        <v>0</v>
      </c>
      <c r="K72" s="31">
        <v>0</v>
      </c>
      <c r="L72" s="31">
        <v>0</v>
      </c>
      <c r="M72" s="31">
        <v>0</v>
      </c>
      <c r="N72" s="31">
        <f t="shared" si="35"/>
        <v>118</v>
      </c>
      <c r="O72" s="31">
        <v>0</v>
      </c>
      <c r="P72" s="31">
        <v>0</v>
      </c>
      <c r="Q72" s="31">
        <v>0</v>
      </c>
      <c r="R72" s="23">
        <f t="shared" si="36"/>
        <v>12862</v>
      </c>
      <c r="S72" s="32">
        <v>109</v>
      </c>
      <c r="T72" s="20"/>
      <c r="U72" s="70"/>
      <c r="V72" s="8"/>
      <c r="W72" s="8"/>
      <c r="X72" s="11"/>
      <c r="Y72" s="11"/>
      <c r="Z72" s="11"/>
      <c r="AA72" s="9"/>
      <c r="AB72" s="9"/>
      <c r="AC72" s="9"/>
      <c r="AD72" s="9"/>
      <c r="AE72" s="9"/>
      <c r="AF72" s="9"/>
      <c r="AG72" s="9"/>
      <c r="AH72" s="9"/>
      <c r="AI72" s="9"/>
    </row>
    <row r="73" spans="1:35" ht="33.75" customHeight="1" x14ac:dyDescent="0.55000000000000004">
      <c r="A73" s="131"/>
      <c r="B73" s="132"/>
      <c r="C73" s="110"/>
      <c r="D73" s="113"/>
      <c r="E73" s="30" t="s">
        <v>17</v>
      </c>
      <c r="F73" s="23">
        <v>174</v>
      </c>
      <c r="G73" s="31">
        <v>0</v>
      </c>
      <c r="H73" s="31">
        <v>0</v>
      </c>
      <c r="I73" s="31">
        <v>0</v>
      </c>
      <c r="J73" s="94">
        <v>0</v>
      </c>
      <c r="K73" s="31">
        <v>0</v>
      </c>
      <c r="L73" s="31">
        <v>0</v>
      </c>
      <c r="M73" s="31">
        <v>0</v>
      </c>
      <c r="N73" s="31">
        <f t="shared" si="35"/>
        <v>174</v>
      </c>
      <c r="O73" s="31">
        <v>0</v>
      </c>
      <c r="P73" s="31">
        <v>0</v>
      </c>
      <c r="Q73" s="31">
        <v>0</v>
      </c>
      <c r="R73" s="23">
        <f t="shared" si="36"/>
        <v>18966</v>
      </c>
      <c r="S73" s="32">
        <v>109</v>
      </c>
      <c r="T73" s="20"/>
      <c r="U73" s="70"/>
      <c r="V73" s="8"/>
      <c r="W73" s="8"/>
      <c r="X73" s="11"/>
      <c r="Y73" s="11"/>
      <c r="Z73" s="11"/>
      <c r="AA73" s="9"/>
      <c r="AB73" s="9"/>
      <c r="AC73" s="9"/>
      <c r="AD73" s="9"/>
      <c r="AE73" s="9"/>
      <c r="AF73" s="9"/>
      <c r="AG73" s="9"/>
      <c r="AH73" s="9"/>
      <c r="AI73" s="9"/>
    </row>
    <row r="74" spans="1:35" ht="33.75" customHeight="1" x14ac:dyDescent="0.55000000000000004">
      <c r="A74" s="131"/>
      <c r="B74" s="132"/>
      <c r="C74" s="110"/>
      <c r="D74" s="113"/>
      <c r="E74" s="30" t="s">
        <v>18</v>
      </c>
      <c r="F74" s="71">
        <v>295</v>
      </c>
      <c r="G74" s="31">
        <v>0</v>
      </c>
      <c r="H74" s="31">
        <v>0</v>
      </c>
      <c r="I74" s="31">
        <v>0</v>
      </c>
      <c r="J74" s="94">
        <v>0</v>
      </c>
      <c r="K74" s="31">
        <v>0</v>
      </c>
      <c r="L74" s="31">
        <v>0</v>
      </c>
      <c r="M74" s="31">
        <v>0</v>
      </c>
      <c r="N74" s="31">
        <f t="shared" si="35"/>
        <v>295</v>
      </c>
      <c r="O74" s="31">
        <v>0</v>
      </c>
      <c r="P74" s="31">
        <v>0</v>
      </c>
      <c r="Q74" s="31">
        <v>0</v>
      </c>
      <c r="R74" s="23">
        <f t="shared" si="36"/>
        <v>22715</v>
      </c>
      <c r="S74" s="32">
        <v>77</v>
      </c>
      <c r="T74" s="20"/>
      <c r="U74" s="70"/>
      <c r="V74" s="8"/>
      <c r="W74" s="8"/>
      <c r="X74" s="11"/>
      <c r="Y74" s="11"/>
      <c r="Z74" s="11"/>
      <c r="AA74" s="9"/>
      <c r="AB74" s="9"/>
      <c r="AC74" s="9"/>
      <c r="AD74" s="9"/>
      <c r="AE74" s="9"/>
      <c r="AF74" s="9"/>
      <c r="AG74" s="9"/>
      <c r="AH74" s="9"/>
      <c r="AI74" s="9"/>
    </row>
    <row r="75" spans="1:35" ht="33.75" customHeight="1" x14ac:dyDescent="0.55000000000000004">
      <c r="A75" s="133"/>
      <c r="B75" s="134"/>
      <c r="C75" s="111"/>
      <c r="D75" s="114"/>
      <c r="E75" s="30" t="s">
        <v>19</v>
      </c>
      <c r="F75" s="71">
        <v>295</v>
      </c>
      <c r="G75" s="31">
        <v>0</v>
      </c>
      <c r="H75" s="31">
        <v>0</v>
      </c>
      <c r="I75" s="31">
        <v>0</v>
      </c>
      <c r="J75" s="94">
        <v>0</v>
      </c>
      <c r="K75" s="31">
        <v>0</v>
      </c>
      <c r="L75" s="31">
        <v>0</v>
      </c>
      <c r="M75" s="31">
        <v>0</v>
      </c>
      <c r="N75" s="31">
        <f t="shared" si="35"/>
        <v>295</v>
      </c>
      <c r="O75" s="31">
        <v>0</v>
      </c>
      <c r="P75" s="31">
        <v>0</v>
      </c>
      <c r="Q75" s="31">
        <v>0</v>
      </c>
      <c r="R75" s="23">
        <f t="shared" si="36"/>
        <v>22715</v>
      </c>
      <c r="S75" s="32">
        <v>77</v>
      </c>
      <c r="T75" s="20"/>
      <c r="U75" s="70"/>
      <c r="V75" s="8"/>
      <c r="W75" s="8"/>
      <c r="X75" s="11"/>
      <c r="Y75" s="11"/>
      <c r="Z75" s="11"/>
      <c r="AA75" s="9"/>
      <c r="AB75" s="9"/>
      <c r="AC75" s="9"/>
      <c r="AD75" s="9"/>
      <c r="AE75" s="9"/>
      <c r="AF75" s="9"/>
      <c r="AG75" s="9"/>
      <c r="AH75" s="9"/>
      <c r="AI75" s="9"/>
    </row>
    <row r="76" spans="1:35" ht="33.75" customHeight="1" x14ac:dyDescent="0.55000000000000004">
      <c r="A76" s="128"/>
      <c r="B76" s="109"/>
      <c r="C76" s="118" t="s">
        <v>0</v>
      </c>
      <c r="D76" s="108"/>
      <c r="E76" s="109"/>
      <c r="F76" s="72">
        <f t="shared" ref="F76:R76" si="37">SUM(F65:F75)</f>
        <v>5454</v>
      </c>
      <c r="G76" s="72">
        <f t="shared" si="37"/>
        <v>0</v>
      </c>
      <c r="H76" s="72">
        <f t="shared" si="37"/>
        <v>0</v>
      </c>
      <c r="I76" s="72">
        <f t="shared" si="37"/>
        <v>0</v>
      </c>
      <c r="J76" s="95">
        <f t="shared" si="37"/>
        <v>0</v>
      </c>
      <c r="K76" s="72">
        <f t="shared" si="37"/>
        <v>0</v>
      </c>
      <c r="L76" s="72">
        <f t="shared" si="37"/>
        <v>0</v>
      </c>
      <c r="M76" s="72">
        <f t="shared" si="37"/>
        <v>0</v>
      </c>
      <c r="N76" s="72">
        <f t="shared" si="37"/>
        <v>5454</v>
      </c>
      <c r="O76" s="72">
        <f t="shared" si="37"/>
        <v>0</v>
      </c>
      <c r="P76" s="72">
        <f t="shared" si="37"/>
        <v>0</v>
      </c>
      <c r="Q76" s="72">
        <f t="shared" si="37"/>
        <v>20</v>
      </c>
      <c r="R76" s="72">
        <f t="shared" si="37"/>
        <v>268326.24</v>
      </c>
      <c r="S76" s="18"/>
      <c r="T76" s="20"/>
      <c r="U76" s="20"/>
      <c r="V76" s="8"/>
      <c r="W76" s="8"/>
      <c r="X76" s="11"/>
      <c r="Y76" s="11"/>
      <c r="Z76" s="11"/>
      <c r="AA76" s="9"/>
      <c r="AB76" s="9"/>
      <c r="AC76" s="9"/>
      <c r="AD76" s="9"/>
      <c r="AE76" s="9"/>
      <c r="AF76" s="9"/>
      <c r="AG76" s="9"/>
      <c r="AH76" s="9"/>
      <c r="AI76" s="9"/>
    </row>
    <row r="77" spans="1:35" ht="36" customHeight="1" x14ac:dyDescent="0.55000000000000004">
      <c r="A77" s="7"/>
      <c r="B77" s="7"/>
      <c r="C77" s="58"/>
      <c r="D77" s="58"/>
      <c r="E77" s="58"/>
      <c r="F77" s="7"/>
      <c r="G77" s="7"/>
      <c r="H77" s="7"/>
      <c r="I77" s="7"/>
      <c r="J77" s="84"/>
      <c r="K77" s="7"/>
      <c r="L77" s="7"/>
      <c r="M77" s="7"/>
      <c r="N77" s="7"/>
      <c r="O77" s="7"/>
      <c r="P77" s="7"/>
      <c r="Q77" s="7"/>
      <c r="R77" s="7"/>
      <c r="S77" s="7"/>
      <c r="T77" s="10"/>
      <c r="U77" s="10"/>
      <c r="V77" s="8"/>
      <c r="W77" s="8"/>
      <c r="X77" s="11"/>
      <c r="Y77" s="11"/>
      <c r="Z77" s="11"/>
      <c r="AA77" s="9"/>
      <c r="AB77" s="9"/>
      <c r="AC77" s="9"/>
      <c r="AD77" s="9"/>
      <c r="AE77" s="9"/>
      <c r="AF77" s="9"/>
      <c r="AG77" s="9"/>
      <c r="AH77" s="9"/>
      <c r="AI77" s="9"/>
    </row>
    <row r="78" spans="1:35" ht="36" customHeight="1" x14ac:dyDescent="0.55000000000000004">
      <c r="A78" s="7"/>
      <c r="B78" s="7"/>
      <c r="C78" s="58"/>
      <c r="D78" s="58"/>
      <c r="E78" s="58"/>
      <c r="F78" s="7"/>
      <c r="G78" s="7"/>
      <c r="H78" s="7"/>
      <c r="I78" s="7"/>
      <c r="J78" s="84"/>
      <c r="K78" s="7"/>
      <c r="L78" s="7"/>
      <c r="M78" s="7"/>
      <c r="N78" s="7"/>
      <c r="O78" s="7"/>
      <c r="P78" s="7"/>
      <c r="Q78" s="7"/>
      <c r="R78" s="7"/>
      <c r="S78" s="7"/>
      <c r="T78" s="10"/>
      <c r="U78" s="10"/>
      <c r="V78" s="8"/>
      <c r="W78" s="8"/>
      <c r="X78" s="11"/>
      <c r="Y78" s="11"/>
      <c r="Z78" s="11"/>
      <c r="AA78" s="9"/>
      <c r="AB78" s="9"/>
      <c r="AC78" s="9"/>
      <c r="AD78" s="9"/>
      <c r="AE78" s="9"/>
      <c r="AF78" s="9"/>
      <c r="AG78" s="9"/>
      <c r="AH78" s="9"/>
      <c r="AI78" s="9"/>
    </row>
    <row r="79" spans="1:35" ht="25.5" customHeight="1" x14ac:dyDescent="0.55000000000000004">
      <c r="A79" s="7"/>
      <c r="B79" s="7"/>
      <c r="C79" s="10"/>
      <c r="D79" s="10"/>
      <c r="E79" s="76"/>
      <c r="F79" s="76"/>
      <c r="G79" s="77"/>
      <c r="H79" s="77"/>
      <c r="I79" s="77"/>
      <c r="J79" s="96"/>
      <c r="K79" s="77"/>
      <c r="L79" s="77"/>
      <c r="M79" s="77"/>
      <c r="N79" s="77"/>
      <c r="O79" s="77"/>
      <c r="P79" s="77"/>
      <c r="Q79" s="77"/>
      <c r="R79" s="59"/>
      <c r="S79" s="59"/>
      <c r="T79" s="59"/>
      <c r="U79" s="7"/>
      <c r="V79" s="75"/>
      <c r="W79" s="11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1:35" ht="25.5" customHeight="1" x14ac:dyDescent="0.55000000000000004">
      <c r="A80" s="7"/>
      <c r="B80" s="7"/>
      <c r="C80" s="10"/>
      <c r="D80" s="10"/>
      <c r="E80" s="76"/>
      <c r="F80" s="76"/>
      <c r="G80" s="77"/>
      <c r="H80" s="77"/>
      <c r="I80" s="77"/>
      <c r="J80" s="96"/>
      <c r="K80" s="77"/>
      <c r="L80" s="77"/>
      <c r="M80" s="77"/>
      <c r="N80" s="77"/>
      <c r="O80" s="77"/>
      <c r="P80" s="77"/>
      <c r="Q80" s="77"/>
      <c r="R80" s="59"/>
      <c r="S80" s="59"/>
      <c r="T80" s="59"/>
      <c r="U80" s="7"/>
      <c r="V80" s="75"/>
      <c r="W80" s="11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 spans="1:35" ht="25.5" customHeight="1" x14ac:dyDescent="0.55000000000000004">
      <c r="A81" s="7"/>
      <c r="B81" s="7"/>
      <c r="C81" s="10"/>
      <c r="D81" s="10"/>
      <c r="E81" s="76"/>
      <c r="F81" s="76"/>
      <c r="G81" s="77"/>
      <c r="H81" s="77"/>
      <c r="I81" s="77"/>
      <c r="J81" s="96"/>
      <c r="K81" s="77"/>
      <c r="L81" s="77"/>
      <c r="M81" s="77"/>
      <c r="N81" s="77"/>
      <c r="O81" s="77"/>
      <c r="P81" s="77"/>
      <c r="Q81" s="77"/>
      <c r="R81" s="59"/>
      <c r="S81" s="59"/>
      <c r="T81" s="59"/>
      <c r="U81" s="7"/>
      <c r="V81" s="75"/>
      <c r="W81" s="11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 spans="1:35" ht="25.5" customHeight="1" x14ac:dyDescent="0.55000000000000004">
      <c r="A82" s="7"/>
      <c r="B82" s="7"/>
      <c r="C82" s="10"/>
      <c r="D82" s="10"/>
      <c r="E82" s="76"/>
      <c r="F82" s="76"/>
      <c r="G82" s="77"/>
      <c r="H82" s="77"/>
      <c r="I82" s="77"/>
      <c r="J82" s="96"/>
      <c r="K82" s="77"/>
      <c r="L82" s="77"/>
      <c r="M82" s="77"/>
      <c r="N82" s="77"/>
      <c r="O82" s="77"/>
      <c r="P82" s="77"/>
      <c r="Q82" s="77"/>
      <c r="R82" s="59"/>
      <c r="S82" s="59"/>
      <c r="T82" s="59"/>
      <c r="U82" s="7"/>
      <c r="V82" s="75"/>
      <c r="W82" s="11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 spans="1:35" ht="25.5" customHeight="1" x14ac:dyDescent="0.55000000000000004">
      <c r="A83" s="7"/>
      <c r="B83" s="7"/>
      <c r="C83" s="10"/>
      <c r="D83" s="10"/>
      <c r="E83" s="76"/>
      <c r="F83" s="76"/>
      <c r="G83" s="77"/>
      <c r="H83" s="77"/>
      <c r="I83" s="77"/>
      <c r="J83" s="96"/>
      <c r="K83" s="77"/>
      <c r="L83" s="77"/>
      <c r="M83" s="77"/>
      <c r="N83" s="77"/>
      <c r="O83" s="77"/>
      <c r="P83" s="77"/>
      <c r="Q83" s="77"/>
      <c r="R83" s="59"/>
      <c r="S83" s="59"/>
      <c r="T83" s="59"/>
      <c r="U83" s="7"/>
      <c r="V83" s="75"/>
      <c r="W83" s="11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 spans="1:35" ht="30" customHeight="1" x14ac:dyDescent="0.55000000000000004">
      <c r="A84" s="7"/>
      <c r="B84" s="7"/>
      <c r="C84" s="10"/>
      <c r="D84" s="10"/>
      <c r="E84" s="76"/>
      <c r="F84" s="76"/>
      <c r="G84" s="77"/>
      <c r="H84" s="77"/>
      <c r="I84" s="77"/>
      <c r="J84" s="96"/>
      <c r="K84" s="77"/>
      <c r="L84" s="77"/>
      <c r="M84" s="77"/>
      <c r="N84" s="116" t="s">
        <v>3</v>
      </c>
      <c r="O84" s="112"/>
      <c r="P84" s="112"/>
      <c r="Q84" s="112"/>
      <c r="R84" s="59"/>
      <c r="S84" s="59"/>
      <c r="T84" s="59"/>
      <c r="U84" s="7"/>
      <c r="V84" s="75"/>
      <c r="W84" s="11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 spans="1:35" ht="30" customHeight="1" x14ac:dyDescent="0.55000000000000004">
      <c r="A85" s="7"/>
      <c r="B85" s="7"/>
      <c r="C85" s="9"/>
      <c r="D85" s="9"/>
      <c r="E85" s="9"/>
      <c r="F85" s="9"/>
      <c r="G85" s="9"/>
      <c r="H85" s="9"/>
      <c r="I85" s="9"/>
      <c r="J85" s="97"/>
      <c r="K85" s="9"/>
      <c r="L85" s="9"/>
      <c r="M85" s="73"/>
      <c r="N85" s="116" t="s">
        <v>4</v>
      </c>
      <c r="O85" s="112"/>
      <c r="P85" s="112"/>
      <c r="Q85" s="112"/>
      <c r="R85" s="7"/>
      <c r="S85" s="7"/>
      <c r="T85" s="7"/>
      <c r="U85" s="6"/>
      <c r="V85" s="10"/>
      <c r="W85" s="10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</row>
    <row r="86" spans="1:35" ht="30" customHeight="1" x14ac:dyDescent="0.55000000000000004">
      <c r="A86" s="7"/>
      <c r="B86" s="7"/>
      <c r="C86" s="9"/>
      <c r="D86" s="9"/>
      <c r="E86" s="9"/>
      <c r="F86" s="9"/>
      <c r="G86" s="9"/>
      <c r="H86" s="9"/>
      <c r="I86" s="9"/>
      <c r="J86" s="97"/>
      <c r="K86" s="9"/>
      <c r="L86" s="9"/>
      <c r="M86" s="73"/>
      <c r="N86" s="116" t="s">
        <v>5</v>
      </c>
      <c r="O86" s="112"/>
      <c r="P86" s="112"/>
      <c r="Q86" s="112"/>
      <c r="R86" s="7"/>
      <c r="S86" s="7"/>
      <c r="T86" s="7"/>
      <c r="U86" s="6"/>
      <c r="V86" s="10"/>
      <c r="W86" s="10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</row>
    <row r="87" spans="1:35" ht="21" customHeight="1" x14ac:dyDescent="0.55000000000000004">
      <c r="A87" s="6"/>
      <c r="B87" s="6"/>
      <c r="C87" s="9"/>
      <c r="D87" s="9"/>
      <c r="E87" s="9"/>
      <c r="F87" s="9"/>
      <c r="G87" s="9"/>
      <c r="H87" s="9"/>
      <c r="I87" s="9"/>
      <c r="J87" s="98"/>
      <c r="K87" s="9"/>
      <c r="L87" s="9"/>
      <c r="M87" s="9"/>
      <c r="N87" s="117"/>
      <c r="O87" s="112"/>
      <c r="P87" s="112"/>
      <c r="Q87" s="112"/>
      <c r="R87" s="10"/>
      <c r="S87" s="10"/>
      <c r="T87" s="10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 spans="1:35" ht="26.25" customHeight="1" x14ac:dyDescent="0.55000000000000004">
      <c r="A88" s="6"/>
      <c r="B88" s="6"/>
      <c r="C88" s="9"/>
      <c r="D88" s="9"/>
      <c r="E88" s="9"/>
      <c r="F88" s="9"/>
      <c r="G88" s="9"/>
      <c r="H88" s="9"/>
      <c r="I88" s="9"/>
      <c r="J88" s="98"/>
      <c r="K88" s="9"/>
      <c r="L88" s="9"/>
      <c r="M88" s="9"/>
      <c r="N88" s="9"/>
      <c r="O88" s="9"/>
      <c r="P88" s="9"/>
      <c r="Q88" s="9"/>
      <c r="R88" s="10"/>
      <c r="S88" s="10"/>
      <c r="T88" s="10"/>
      <c r="U88" s="9"/>
      <c r="V88" s="10"/>
      <c r="W88" s="10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</row>
    <row r="89" spans="1:35" ht="26.25" customHeight="1" x14ac:dyDescent="0.55000000000000004">
      <c r="A89" s="6"/>
      <c r="B89" s="6"/>
      <c r="C89" s="9"/>
      <c r="D89" s="9"/>
      <c r="E89" s="9"/>
      <c r="F89" s="9"/>
      <c r="G89" s="9"/>
      <c r="H89" s="9"/>
      <c r="I89" s="9"/>
      <c r="J89" s="98"/>
      <c r="K89" s="9"/>
      <c r="L89" s="9"/>
      <c r="M89" s="9"/>
      <c r="N89" s="9"/>
      <c r="O89" s="9"/>
      <c r="P89" s="9"/>
      <c r="Q89" s="9"/>
      <c r="R89" s="10"/>
      <c r="S89" s="10"/>
      <c r="T89" s="10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 spans="1:35" ht="28.5" customHeight="1" x14ac:dyDescent="0.55000000000000004">
      <c r="A90" s="6"/>
      <c r="B90" s="6"/>
      <c r="C90" s="9"/>
      <c r="D90" s="9"/>
      <c r="E90" s="9"/>
      <c r="F90" s="9"/>
      <c r="G90" s="9"/>
      <c r="H90" s="9"/>
      <c r="I90" s="9"/>
      <c r="J90" s="98"/>
      <c r="K90" s="9"/>
      <c r="L90" s="9"/>
      <c r="M90" s="9"/>
      <c r="N90" s="9"/>
      <c r="O90" s="9"/>
      <c r="P90" s="9"/>
      <c r="Q90" s="9"/>
      <c r="R90" s="10"/>
      <c r="S90" s="10"/>
      <c r="T90" s="10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</row>
    <row r="91" spans="1:35" ht="21.75" customHeight="1" x14ac:dyDescent="0.55000000000000004">
      <c r="A91" s="6"/>
      <c r="B91" s="6"/>
      <c r="C91" s="9"/>
      <c r="D91" s="9"/>
      <c r="E91" s="9"/>
      <c r="F91" s="9"/>
      <c r="G91" s="9"/>
      <c r="H91" s="9"/>
      <c r="I91" s="9"/>
      <c r="J91" s="98"/>
      <c r="K91" s="9"/>
      <c r="L91" s="9"/>
      <c r="M91" s="9"/>
      <c r="N91" s="9"/>
      <c r="O91" s="9"/>
      <c r="P91" s="9"/>
      <c r="Q91" s="78"/>
      <c r="R91" s="10"/>
      <c r="S91" s="10"/>
      <c r="T91" s="10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</row>
    <row r="92" spans="1:35" ht="21.75" customHeight="1" x14ac:dyDescent="0.55000000000000004">
      <c r="A92" s="9"/>
      <c r="B92" s="9"/>
      <c r="C92" s="9"/>
      <c r="D92" s="9"/>
      <c r="E92" s="9"/>
      <c r="F92" s="9"/>
      <c r="G92" s="9"/>
      <c r="H92" s="9"/>
      <c r="I92" s="9"/>
      <c r="J92" s="99"/>
      <c r="K92" s="9"/>
      <c r="L92" s="9"/>
      <c r="M92" s="9"/>
      <c r="N92" s="9"/>
      <c r="O92" s="9"/>
      <c r="P92" s="9"/>
      <c r="Q92" s="78"/>
      <c r="R92" s="10"/>
      <c r="S92" s="10"/>
      <c r="T92" s="10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</row>
    <row r="93" spans="1:35" ht="21.75" customHeight="1" x14ac:dyDescent="0.55000000000000004">
      <c r="A93" s="9"/>
      <c r="B93" s="9"/>
      <c r="C93" s="9"/>
      <c r="D93" s="9"/>
      <c r="E93" s="9"/>
      <c r="F93" s="9"/>
      <c r="G93" s="9"/>
      <c r="H93" s="9"/>
      <c r="I93" s="9"/>
      <c r="J93" s="98"/>
      <c r="K93" s="9"/>
      <c r="L93" s="9"/>
      <c r="M93" s="9"/>
      <c r="N93" s="9"/>
      <c r="O93" s="9"/>
      <c r="P93" s="9"/>
      <c r="Q93" s="78"/>
      <c r="R93" s="10"/>
      <c r="S93" s="10"/>
      <c r="T93" s="10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spans="1:35" ht="21.75" customHeight="1" x14ac:dyDescent="0.55000000000000004">
      <c r="A94" s="9"/>
      <c r="B94" s="9"/>
      <c r="C94" s="5"/>
      <c r="D94" s="5"/>
      <c r="E94" s="5"/>
      <c r="F94" s="5"/>
      <c r="G94" s="5"/>
      <c r="H94" s="5"/>
      <c r="I94" s="5"/>
      <c r="J94" s="10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</row>
    <row r="95" spans="1:35" ht="21.75" customHeight="1" x14ac:dyDescent="0.55000000000000004">
      <c r="A95" s="9"/>
      <c r="B95" s="9"/>
      <c r="C95" s="6"/>
      <c r="D95" s="6"/>
      <c r="E95" s="9"/>
      <c r="F95" s="9"/>
      <c r="G95" s="9"/>
      <c r="H95" s="73"/>
      <c r="I95" s="79"/>
      <c r="J95" s="101"/>
      <c r="K95" s="79"/>
      <c r="L95" s="7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1:35" ht="21.75" customHeight="1" x14ac:dyDescent="0.55000000000000004">
      <c r="A96" s="9"/>
      <c r="B96" s="9"/>
      <c r="C96" s="9"/>
      <c r="D96" s="9"/>
      <c r="E96" s="9"/>
      <c r="F96" s="9"/>
      <c r="G96" s="9"/>
      <c r="H96" s="9"/>
      <c r="I96" s="9"/>
      <c r="J96" s="9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</row>
    <row r="97" spans="1:35" ht="21.75" customHeight="1" x14ac:dyDescent="0.55000000000000004">
      <c r="A97" s="9"/>
      <c r="B97" s="9"/>
      <c r="C97" s="6"/>
      <c r="D97" s="6"/>
      <c r="E97" s="6"/>
      <c r="F97" s="6"/>
      <c r="G97" s="6"/>
      <c r="H97" s="6"/>
      <c r="I97" s="6"/>
      <c r="J97" s="8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1:35" ht="21.75" customHeight="1" x14ac:dyDescent="0.55000000000000004">
      <c r="A98" s="9"/>
      <c r="B98" s="9"/>
      <c r="C98" s="80"/>
      <c r="D98" s="80"/>
      <c r="E98" s="80"/>
      <c r="F98" s="80"/>
      <c r="G98" s="80"/>
      <c r="H98" s="80"/>
      <c r="I98" s="80"/>
      <c r="J98" s="102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</row>
    <row r="99" spans="1:35" ht="21.75" customHeight="1" x14ac:dyDescent="0.55000000000000004">
      <c r="A99" s="9"/>
      <c r="B99" s="9"/>
      <c r="C99" s="74"/>
      <c r="D99" s="74"/>
      <c r="E99" s="74"/>
      <c r="F99" s="80"/>
      <c r="G99" s="80"/>
      <c r="H99" s="80"/>
      <c r="I99" s="80"/>
      <c r="J99" s="102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74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1:35" ht="21.75" customHeight="1" x14ac:dyDescent="0.55000000000000004">
      <c r="A100" s="9"/>
      <c r="B100" s="9"/>
      <c r="C100" s="6"/>
      <c r="D100" s="6"/>
      <c r="E100" s="9"/>
      <c r="F100" s="80"/>
      <c r="G100" s="80"/>
      <c r="H100" s="80"/>
      <c r="I100" s="80"/>
      <c r="J100" s="102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6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ht="27.75" customHeight="1" x14ac:dyDescent="0.55000000000000004">
      <c r="A101" s="9"/>
      <c r="B101" s="9"/>
      <c r="C101" s="6"/>
      <c r="D101" s="6"/>
      <c r="E101" s="9"/>
      <c r="F101" s="80"/>
      <c r="G101" s="80"/>
      <c r="H101" s="80"/>
      <c r="I101" s="80"/>
      <c r="J101" s="102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1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ht="28.5" customHeight="1" x14ac:dyDescent="0.55000000000000004">
      <c r="A102" s="9"/>
      <c r="B102" s="9"/>
      <c r="C102" s="6"/>
      <c r="D102" s="6"/>
      <c r="E102" s="9"/>
      <c r="F102" s="80"/>
      <c r="G102" s="80"/>
      <c r="H102" s="80"/>
      <c r="I102" s="80"/>
      <c r="J102" s="102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1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ht="21.75" customHeight="1" x14ac:dyDescent="0.55000000000000004">
      <c r="A103" s="9"/>
      <c r="B103" s="9"/>
      <c r="C103" s="7"/>
      <c r="D103" s="7"/>
      <c r="E103" s="10"/>
      <c r="F103" s="80"/>
      <c r="G103" s="80"/>
      <c r="H103" s="80"/>
      <c r="I103" s="80"/>
      <c r="J103" s="102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5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ht="21.75" customHeight="1" x14ac:dyDescent="0.55000000000000004">
      <c r="A104" s="9"/>
      <c r="B104" s="9"/>
      <c r="C104" s="7"/>
      <c r="D104" s="7"/>
      <c r="E104" s="10"/>
      <c r="F104" s="80"/>
      <c r="G104" s="80"/>
      <c r="H104" s="80"/>
      <c r="I104" s="80"/>
      <c r="J104" s="102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5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ht="21.75" customHeight="1" x14ac:dyDescent="0.55000000000000004">
      <c r="A105" s="9"/>
      <c r="B105" s="9"/>
      <c r="C105" s="80"/>
      <c r="D105" s="80"/>
      <c r="E105" s="80"/>
      <c r="F105" s="80"/>
      <c r="G105" s="80"/>
      <c r="H105" s="80"/>
      <c r="I105" s="80"/>
      <c r="J105" s="102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ht="21.75" customHeight="1" x14ac:dyDescent="0.55000000000000004">
      <c r="A106" s="9"/>
      <c r="B106" s="9"/>
      <c r="C106" s="74"/>
      <c r="D106" s="74"/>
      <c r="E106" s="74"/>
      <c r="F106" s="80"/>
      <c r="G106" s="80"/>
      <c r="H106" s="80"/>
      <c r="I106" s="80"/>
      <c r="J106" s="102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74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ht="21.75" customHeight="1" x14ac:dyDescent="0.55000000000000004">
      <c r="A107" s="9"/>
      <c r="B107" s="9"/>
      <c r="C107" s="6"/>
      <c r="D107" s="6"/>
      <c r="E107" s="9"/>
      <c r="F107" s="80"/>
      <c r="G107" s="80"/>
      <c r="H107" s="80"/>
      <c r="I107" s="80"/>
      <c r="J107" s="102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6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ht="21.75" customHeight="1" x14ac:dyDescent="0.55000000000000004">
      <c r="A108" s="9"/>
      <c r="B108" s="9"/>
      <c r="C108" s="6"/>
      <c r="D108" s="6"/>
      <c r="E108" s="9"/>
      <c r="F108" s="80"/>
      <c r="G108" s="80"/>
      <c r="H108" s="80"/>
      <c r="I108" s="80"/>
      <c r="J108" s="102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1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ht="21.75" customHeight="1" x14ac:dyDescent="0.55000000000000004">
      <c r="A109" s="9"/>
      <c r="B109" s="9"/>
      <c r="C109" s="6"/>
      <c r="D109" s="6"/>
      <c r="E109" s="9"/>
      <c r="F109" s="80"/>
      <c r="G109" s="80"/>
      <c r="H109" s="80"/>
      <c r="I109" s="80"/>
      <c r="J109" s="102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1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ht="21.75" customHeight="1" x14ac:dyDescent="0.55000000000000004">
      <c r="A110" s="9"/>
      <c r="B110" s="9"/>
      <c r="C110" s="6"/>
      <c r="D110" s="6"/>
      <c r="E110" s="9"/>
      <c r="F110" s="80"/>
      <c r="G110" s="80"/>
      <c r="H110" s="80"/>
      <c r="I110" s="80"/>
      <c r="J110" s="102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1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ht="21.75" customHeight="1" x14ac:dyDescent="0.55000000000000004">
      <c r="A111" s="9"/>
      <c r="B111" s="9"/>
      <c r="C111" s="6"/>
      <c r="D111" s="6"/>
      <c r="E111" s="9"/>
      <c r="F111" s="80"/>
      <c r="G111" s="80"/>
      <c r="H111" s="80"/>
      <c r="I111" s="80"/>
      <c r="J111" s="102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1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ht="21.75" customHeight="1" x14ac:dyDescent="0.55000000000000004">
      <c r="A112" s="9"/>
      <c r="B112" s="9"/>
      <c r="C112" s="7"/>
      <c r="D112" s="7"/>
      <c r="E112" s="10"/>
      <c r="F112" s="80"/>
      <c r="G112" s="80"/>
      <c r="H112" s="80"/>
      <c r="I112" s="80"/>
      <c r="J112" s="102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5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ht="21.75" customHeight="1" x14ac:dyDescent="0.55000000000000004">
      <c r="A113" s="9"/>
      <c r="B113" s="9"/>
      <c r="C113" s="7"/>
      <c r="D113" s="7"/>
      <c r="E113" s="9"/>
      <c r="F113" s="9"/>
      <c r="G113" s="9"/>
      <c r="H113" s="9"/>
      <c r="I113" s="9"/>
      <c r="J113" s="99"/>
      <c r="K113" s="9"/>
      <c r="L113" s="82"/>
      <c r="M113" s="9"/>
      <c r="N113" s="9"/>
      <c r="O113" s="73"/>
      <c r="P113" s="11"/>
      <c r="Q113" s="9"/>
      <c r="R113" s="9"/>
      <c r="S113" s="6"/>
      <c r="T113" s="6"/>
      <c r="U113" s="7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ht="21.75" customHeight="1" x14ac:dyDescent="0.55000000000000004">
      <c r="A114" s="9"/>
      <c r="B114" s="9"/>
      <c r="C114" s="6"/>
      <c r="D114" s="6"/>
      <c r="E114" s="9"/>
      <c r="F114" s="9"/>
      <c r="G114" s="9"/>
      <c r="H114" s="9"/>
      <c r="I114" s="9"/>
      <c r="J114" s="99"/>
      <c r="K114" s="9"/>
      <c r="L114" s="75"/>
      <c r="M114" s="9"/>
      <c r="N114" s="9"/>
      <c r="O114" s="9"/>
      <c r="P114" s="9"/>
      <c r="Q114" s="9"/>
      <c r="R114" s="9"/>
      <c r="S114" s="78"/>
      <c r="T114" s="78"/>
      <c r="U114" s="10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ht="21.75" customHeight="1" x14ac:dyDescent="0.55000000000000004">
      <c r="A115" s="9"/>
      <c r="B115" s="9"/>
      <c r="C115" s="6"/>
      <c r="D115" s="6"/>
      <c r="E115" s="9"/>
      <c r="F115" s="9"/>
      <c r="G115" s="9"/>
      <c r="H115" s="9"/>
      <c r="I115" s="9"/>
      <c r="J115" s="99"/>
      <c r="K115" s="9"/>
      <c r="L115" s="75"/>
      <c r="M115" s="9"/>
      <c r="N115" s="9"/>
      <c r="O115" s="9"/>
      <c r="P115" s="9"/>
      <c r="Q115" s="9"/>
      <c r="R115" s="9"/>
      <c r="S115" s="78"/>
      <c r="T115" s="78"/>
      <c r="U115" s="10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ht="21.75" customHeight="1" x14ac:dyDescent="0.55000000000000004">
      <c r="A116" s="9"/>
      <c r="B116" s="9"/>
      <c r="C116" s="6"/>
      <c r="D116" s="6"/>
      <c r="E116" s="9"/>
      <c r="F116" s="9"/>
      <c r="G116" s="9"/>
      <c r="H116" s="9"/>
      <c r="I116" s="9"/>
      <c r="J116" s="99"/>
      <c r="K116" s="9"/>
      <c r="L116" s="75"/>
      <c r="M116" s="9"/>
      <c r="N116" s="9"/>
      <c r="O116" s="9"/>
      <c r="P116" s="83"/>
      <c r="Q116" s="83"/>
      <c r="R116" s="83"/>
      <c r="S116" s="83"/>
      <c r="T116" s="83"/>
      <c r="U116" s="10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ht="21.75" customHeight="1" x14ac:dyDescent="0.55000000000000004">
      <c r="A117" s="9"/>
      <c r="B117" s="9"/>
      <c r="C117" s="6"/>
      <c r="D117" s="6"/>
      <c r="E117" s="9"/>
      <c r="F117" s="9"/>
      <c r="G117" s="9"/>
      <c r="H117" s="9"/>
      <c r="I117" s="9"/>
      <c r="J117" s="99"/>
      <c r="K117" s="9"/>
      <c r="L117" s="75"/>
      <c r="M117" s="9"/>
      <c r="N117" s="9"/>
      <c r="O117" s="9"/>
      <c r="P117" s="9"/>
      <c r="Q117" s="9"/>
      <c r="R117" s="9"/>
      <c r="S117" s="9"/>
      <c r="T117" s="9"/>
      <c r="U117" s="10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ht="21.75" customHeight="1" x14ac:dyDescent="0.55000000000000004">
      <c r="A118" s="9"/>
      <c r="B118" s="9"/>
      <c r="C118" s="6"/>
      <c r="D118" s="6"/>
      <c r="E118" s="9"/>
      <c r="F118" s="9"/>
      <c r="G118" s="9"/>
      <c r="H118" s="9"/>
      <c r="I118" s="9"/>
      <c r="J118" s="99"/>
      <c r="K118" s="9"/>
      <c r="L118" s="75"/>
      <c r="M118" s="9"/>
      <c r="N118" s="9"/>
      <c r="O118" s="9"/>
      <c r="P118" s="9"/>
      <c r="Q118" s="9"/>
      <c r="R118" s="9"/>
      <c r="S118" s="9"/>
      <c r="T118" s="9"/>
      <c r="U118" s="10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ht="21.75" customHeight="1" x14ac:dyDescent="0.55000000000000004">
      <c r="A119" s="9"/>
      <c r="B119" s="9"/>
      <c r="C119" s="9"/>
      <c r="D119" s="9"/>
      <c r="E119" s="9"/>
      <c r="F119" s="9"/>
      <c r="G119" s="9"/>
      <c r="H119" s="9"/>
      <c r="I119" s="9"/>
      <c r="J119" s="98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ht="21.75" customHeight="1" x14ac:dyDescent="0.55000000000000004">
      <c r="A120" s="6"/>
      <c r="B120" s="6"/>
      <c r="C120" s="9"/>
      <c r="D120" s="9"/>
      <c r="E120" s="9"/>
      <c r="F120" s="9"/>
      <c r="G120" s="9"/>
      <c r="H120" s="9"/>
      <c r="I120" s="9"/>
      <c r="J120" s="98"/>
      <c r="K120" s="9"/>
      <c r="L120" s="9"/>
      <c r="M120" s="9"/>
      <c r="N120" s="9"/>
      <c r="O120" s="9"/>
      <c r="P120" s="9"/>
      <c r="Q120" s="78"/>
      <c r="R120" s="10"/>
      <c r="S120" s="10"/>
      <c r="T120" s="10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ht="21.75" customHeight="1" x14ac:dyDescent="0.55000000000000004">
      <c r="A121" s="6"/>
      <c r="B121" s="6"/>
      <c r="C121" s="9"/>
      <c r="D121" s="9"/>
      <c r="E121" s="9"/>
      <c r="F121" s="9"/>
      <c r="G121" s="9"/>
      <c r="H121" s="9"/>
      <c r="I121" s="9"/>
      <c r="J121" s="98"/>
      <c r="K121" s="9"/>
      <c r="L121" s="9"/>
      <c r="M121" s="9"/>
      <c r="N121" s="9"/>
      <c r="O121" s="9"/>
      <c r="P121" s="9"/>
      <c r="Q121" s="78"/>
      <c r="R121" s="10"/>
      <c r="S121" s="10"/>
      <c r="T121" s="10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ht="21.75" customHeight="1" x14ac:dyDescent="0.55000000000000004">
      <c r="A122" s="6"/>
      <c r="B122" s="6"/>
      <c r="C122" s="9"/>
      <c r="D122" s="9"/>
      <c r="E122" s="9"/>
      <c r="F122" s="9"/>
      <c r="G122" s="9"/>
      <c r="H122" s="9"/>
      <c r="I122" s="9"/>
      <c r="J122" s="98"/>
      <c r="K122" s="9"/>
      <c r="L122" s="9"/>
      <c r="M122" s="9"/>
      <c r="N122" s="9"/>
      <c r="O122" s="9"/>
      <c r="P122" s="9"/>
      <c r="Q122" s="78"/>
      <c r="R122" s="10"/>
      <c r="S122" s="10"/>
      <c r="T122" s="10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ht="21.75" customHeight="1" x14ac:dyDescent="0.55000000000000004">
      <c r="A123" s="6"/>
      <c r="B123" s="6"/>
      <c r="C123" s="9"/>
      <c r="D123" s="9"/>
      <c r="E123" s="9"/>
      <c r="F123" s="9"/>
      <c r="G123" s="9"/>
      <c r="H123" s="9"/>
      <c r="I123" s="9"/>
      <c r="J123" s="98"/>
      <c r="K123" s="9"/>
      <c r="L123" s="9"/>
      <c r="M123" s="9"/>
      <c r="N123" s="9"/>
      <c r="O123" s="9"/>
      <c r="P123" s="9"/>
      <c r="Q123" s="78"/>
      <c r="R123" s="10"/>
      <c r="S123" s="10"/>
      <c r="T123" s="10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ht="21.75" customHeight="1" x14ac:dyDescent="0.55000000000000004">
      <c r="A124" s="6"/>
      <c r="B124" s="6"/>
      <c r="C124" s="9"/>
      <c r="D124" s="9"/>
      <c r="E124" s="9"/>
      <c r="F124" s="9"/>
      <c r="G124" s="9"/>
      <c r="H124" s="9"/>
      <c r="I124" s="9"/>
      <c r="J124" s="98"/>
      <c r="K124" s="9"/>
      <c r="L124" s="9"/>
      <c r="M124" s="9"/>
      <c r="N124" s="9"/>
      <c r="O124" s="9"/>
      <c r="P124" s="9"/>
      <c r="Q124" s="78"/>
      <c r="R124" s="10"/>
      <c r="S124" s="10"/>
      <c r="T124" s="10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ht="21.75" customHeight="1" x14ac:dyDescent="0.55000000000000004">
      <c r="A125" s="6"/>
      <c r="B125" s="6"/>
      <c r="C125" s="9"/>
      <c r="D125" s="9"/>
      <c r="E125" s="9"/>
      <c r="F125" s="9"/>
      <c r="G125" s="9"/>
      <c r="H125" s="9"/>
      <c r="I125" s="9"/>
      <c r="J125" s="98"/>
      <c r="K125" s="9"/>
      <c r="L125" s="9"/>
      <c r="M125" s="9"/>
      <c r="N125" s="9"/>
      <c r="O125" s="9"/>
      <c r="P125" s="9"/>
      <c r="Q125" s="78"/>
      <c r="R125" s="10"/>
      <c r="S125" s="10"/>
      <c r="T125" s="10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ht="21.75" customHeight="1" x14ac:dyDescent="0.55000000000000004">
      <c r="A126" s="6"/>
      <c r="B126" s="6"/>
      <c r="C126" s="9"/>
      <c r="D126" s="9"/>
      <c r="E126" s="9"/>
      <c r="F126" s="9"/>
      <c r="G126" s="9"/>
      <c r="H126" s="9"/>
      <c r="I126" s="9"/>
      <c r="J126" s="98"/>
      <c r="K126" s="9"/>
      <c r="L126" s="9"/>
      <c r="M126" s="9"/>
      <c r="N126" s="9"/>
      <c r="O126" s="9"/>
      <c r="P126" s="9"/>
      <c r="Q126" s="78"/>
      <c r="R126" s="10"/>
      <c r="S126" s="10"/>
      <c r="T126" s="10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ht="21.75" customHeight="1" x14ac:dyDescent="0.55000000000000004">
      <c r="A127" s="6"/>
      <c r="B127" s="6"/>
      <c r="C127" s="9"/>
      <c r="D127" s="9"/>
      <c r="E127" s="9"/>
      <c r="F127" s="9"/>
      <c r="G127" s="9"/>
      <c r="H127" s="9"/>
      <c r="I127" s="9"/>
      <c r="J127" s="98"/>
      <c r="K127" s="9"/>
      <c r="L127" s="9"/>
      <c r="M127" s="9"/>
      <c r="N127" s="9"/>
      <c r="O127" s="9"/>
      <c r="P127" s="9"/>
      <c r="Q127" s="78"/>
      <c r="R127" s="10"/>
      <c r="S127" s="10"/>
      <c r="T127" s="10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ht="21.75" customHeight="1" x14ac:dyDescent="0.55000000000000004">
      <c r="A128" s="6"/>
      <c r="B128" s="6"/>
      <c r="C128" s="9"/>
      <c r="D128" s="9"/>
      <c r="E128" s="9"/>
      <c r="F128" s="9"/>
      <c r="G128" s="9"/>
      <c r="H128" s="9"/>
      <c r="I128" s="9"/>
      <c r="J128" s="98"/>
      <c r="K128" s="9"/>
      <c r="L128" s="9"/>
      <c r="M128" s="9"/>
      <c r="N128" s="9"/>
      <c r="O128" s="9"/>
      <c r="P128" s="9"/>
      <c r="Q128" s="78"/>
      <c r="R128" s="10"/>
      <c r="S128" s="10"/>
      <c r="T128" s="10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ht="21.75" customHeight="1" x14ac:dyDescent="0.55000000000000004">
      <c r="A129" s="6"/>
      <c r="B129" s="6"/>
      <c r="C129" s="9"/>
      <c r="D129" s="9"/>
      <c r="E129" s="9"/>
      <c r="F129" s="9"/>
      <c r="G129" s="9"/>
      <c r="H129" s="9"/>
      <c r="I129" s="9"/>
      <c r="J129" s="98"/>
      <c r="K129" s="9"/>
      <c r="L129" s="9"/>
      <c r="M129" s="9"/>
      <c r="N129" s="9"/>
      <c r="O129" s="9"/>
      <c r="P129" s="9"/>
      <c r="Q129" s="78"/>
      <c r="R129" s="10"/>
      <c r="S129" s="10"/>
      <c r="T129" s="10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ht="21.75" customHeight="1" x14ac:dyDescent="0.55000000000000004">
      <c r="A130" s="6"/>
      <c r="B130" s="6"/>
      <c r="C130" s="9"/>
      <c r="D130" s="9"/>
      <c r="E130" s="9"/>
      <c r="F130" s="9"/>
      <c r="G130" s="9"/>
      <c r="H130" s="9"/>
      <c r="I130" s="9"/>
      <c r="J130" s="98"/>
      <c r="K130" s="9"/>
      <c r="L130" s="9"/>
      <c r="M130" s="9"/>
      <c r="N130" s="9"/>
      <c r="O130" s="9"/>
      <c r="P130" s="9"/>
      <c r="Q130" s="78"/>
      <c r="R130" s="10"/>
      <c r="S130" s="10"/>
      <c r="T130" s="10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ht="21.75" customHeight="1" x14ac:dyDescent="0.55000000000000004">
      <c r="A131" s="6"/>
      <c r="B131" s="6"/>
      <c r="C131" s="9"/>
      <c r="D131" s="9"/>
      <c r="E131" s="9"/>
      <c r="F131" s="9"/>
      <c r="G131" s="9"/>
      <c r="H131" s="9"/>
      <c r="I131" s="9"/>
      <c r="J131" s="98"/>
      <c r="K131" s="9"/>
      <c r="L131" s="9"/>
      <c r="M131" s="9"/>
      <c r="N131" s="9"/>
      <c r="O131" s="9"/>
      <c r="P131" s="9"/>
      <c r="Q131" s="78"/>
      <c r="R131" s="10"/>
      <c r="S131" s="10"/>
      <c r="T131" s="10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ht="21.75" customHeight="1" x14ac:dyDescent="0.55000000000000004">
      <c r="A132" s="6"/>
      <c r="B132" s="6"/>
      <c r="C132" s="9"/>
      <c r="D132" s="9"/>
      <c r="E132" s="9"/>
      <c r="F132" s="9"/>
      <c r="G132" s="9"/>
      <c r="H132" s="9"/>
      <c r="I132" s="9"/>
      <c r="J132" s="98"/>
      <c r="K132" s="9"/>
      <c r="L132" s="9"/>
      <c r="M132" s="9"/>
      <c r="N132" s="9"/>
      <c r="O132" s="9"/>
      <c r="P132" s="9"/>
      <c r="Q132" s="78"/>
      <c r="R132" s="10"/>
      <c r="S132" s="10"/>
      <c r="T132" s="10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ht="21.75" customHeight="1" x14ac:dyDescent="0.55000000000000004">
      <c r="A133" s="6"/>
      <c r="B133" s="6"/>
      <c r="C133" s="9"/>
      <c r="D133" s="9"/>
      <c r="E133" s="9"/>
      <c r="F133" s="9"/>
      <c r="G133" s="9"/>
      <c r="H133" s="9"/>
      <c r="I133" s="9"/>
      <c r="J133" s="98"/>
      <c r="K133" s="9"/>
      <c r="L133" s="9"/>
      <c r="M133" s="9"/>
      <c r="N133" s="9"/>
      <c r="O133" s="9"/>
      <c r="P133" s="9"/>
      <c r="Q133" s="78"/>
      <c r="R133" s="10"/>
      <c r="S133" s="10"/>
      <c r="T133" s="10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ht="21.75" customHeight="1" x14ac:dyDescent="0.55000000000000004">
      <c r="A134" s="6"/>
      <c r="B134" s="6"/>
      <c r="C134" s="9"/>
      <c r="D134" s="9"/>
      <c r="E134" s="9"/>
      <c r="F134" s="9"/>
      <c r="G134" s="9"/>
      <c r="H134" s="9"/>
      <c r="I134" s="9"/>
      <c r="J134" s="98"/>
      <c r="K134" s="9"/>
      <c r="L134" s="9"/>
      <c r="M134" s="9"/>
      <c r="N134" s="9"/>
      <c r="O134" s="9"/>
      <c r="P134" s="9"/>
      <c r="Q134" s="78"/>
      <c r="R134" s="10"/>
      <c r="S134" s="10"/>
      <c r="T134" s="10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ht="21.75" customHeight="1" x14ac:dyDescent="0.55000000000000004">
      <c r="A135" s="6"/>
      <c r="B135" s="6"/>
      <c r="C135" s="9"/>
      <c r="D135" s="9"/>
      <c r="E135" s="9"/>
      <c r="F135" s="9"/>
      <c r="G135" s="9"/>
      <c r="H135" s="9"/>
      <c r="I135" s="9"/>
      <c r="J135" s="98"/>
      <c r="K135" s="9"/>
      <c r="L135" s="9"/>
      <c r="M135" s="9"/>
      <c r="N135" s="9"/>
      <c r="O135" s="9"/>
      <c r="P135" s="9"/>
      <c r="Q135" s="78"/>
      <c r="R135" s="10"/>
      <c r="S135" s="10"/>
      <c r="T135" s="10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ht="21.75" customHeight="1" x14ac:dyDescent="0.55000000000000004">
      <c r="A136" s="6"/>
      <c r="B136" s="6"/>
      <c r="C136" s="9"/>
      <c r="D136" s="9"/>
      <c r="E136" s="9"/>
      <c r="F136" s="9"/>
      <c r="G136" s="9"/>
      <c r="H136" s="9"/>
      <c r="I136" s="9"/>
      <c r="J136" s="98"/>
      <c r="K136" s="9"/>
      <c r="L136" s="9"/>
      <c r="M136" s="9"/>
      <c r="N136" s="9"/>
      <c r="O136" s="9"/>
      <c r="P136" s="9"/>
      <c r="Q136" s="78"/>
      <c r="R136" s="10"/>
      <c r="S136" s="10"/>
      <c r="T136" s="10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ht="21.75" customHeight="1" x14ac:dyDescent="0.55000000000000004">
      <c r="A137" s="6"/>
      <c r="B137" s="6"/>
      <c r="C137" s="9"/>
      <c r="D137" s="9"/>
      <c r="E137" s="9"/>
      <c r="F137" s="9"/>
      <c r="G137" s="9"/>
      <c r="H137" s="9"/>
      <c r="I137" s="9"/>
      <c r="J137" s="98"/>
      <c r="K137" s="9"/>
      <c r="L137" s="9"/>
      <c r="M137" s="9"/>
      <c r="N137" s="9"/>
      <c r="O137" s="9"/>
      <c r="P137" s="9"/>
      <c r="Q137" s="78"/>
      <c r="R137" s="10"/>
      <c r="S137" s="10"/>
      <c r="T137" s="10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ht="21.75" customHeight="1" x14ac:dyDescent="0.55000000000000004">
      <c r="A138" s="6"/>
      <c r="B138" s="6"/>
      <c r="C138" s="9"/>
      <c r="D138" s="9"/>
      <c r="E138" s="9"/>
      <c r="F138" s="9"/>
      <c r="G138" s="9"/>
      <c r="H138" s="9"/>
      <c r="I138" s="9"/>
      <c r="J138" s="98"/>
      <c r="K138" s="9"/>
      <c r="L138" s="9"/>
      <c r="M138" s="9"/>
      <c r="N138" s="9"/>
      <c r="O138" s="9"/>
      <c r="P138" s="9"/>
      <c r="Q138" s="78"/>
      <c r="R138" s="10"/>
      <c r="S138" s="10"/>
      <c r="T138" s="10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ht="21.75" customHeight="1" x14ac:dyDescent="0.55000000000000004">
      <c r="A139" s="6"/>
      <c r="B139" s="6"/>
      <c r="C139" s="9"/>
      <c r="D139" s="9"/>
      <c r="E139" s="9"/>
      <c r="F139" s="9"/>
      <c r="G139" s="9"/>
      <c r="H139" s="9"/>
      <c r="I139" s="9"/>
      <c r="J139" s="98"/>
      <c r="K139" s="9"/>
      <c r="L139" s="9"/>
      <c r="M139" s="9"/>
      <c r="N139" s="9"/>
      <c r="O139" s="9"/>
      <c r="P139" s="9"/>
      <c r="Q139" s="78"/>
      <c r="R139" s="10"/>
      <c r="S139" s="10"/>
      <c r="T139" s="10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ht="21.75" customHeight="1" x14ac:dyDescent="0.55000000000000004">
      <c r="A140" s="6"/>
      <c r="B140" s="6"/>
      <c r="C140" s="9"/>
      <c r="D140" s="9"/>
      <c r="E140" s="9"/>
      <c r="F140" s="9"/>
      <c r="G140" s="9"/>
      <c r="H140" s="9"/>
      <c r="I140" s="9"/>
      <c r="J140" s="98"/>
      <c r="K140" s="9"/>
      <c r="L140" s="9"/>
      <c r="M140" s="9"/>
      <c r="N140" s="9"/>
      <c r="O140" s="9"/>
      <c r="P140" s="9"/>
      <c r="Q140" s="78"/>
      <c r="R140" s="10"/>
      <c r="S140" s="10"/>
      <c r="T140" s="10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ht="21.75" customHeight="1" x14ac:dyDescent="0.55000000000000004">
      <c r="A141" s="6"/>
      <c r="B141" s="6"/>
      <c r="C141" s="9"/>
      <c r="D141" s="9"/>
      <c r="E141" s="9"/>
      <c r="F141" s="9"/>
      <c r="G141" s="9"/>
      <c r="H141" s="9"/>
      <c r="I141" s="9"/>
      <c r="J141" s="98"/>
      <c r="K141" s="9"/>
      <c r="L141" s="9"/>
      <c r="M141" s="9"/>
      <c r="N141" s="9"/>
      <c r="O141" s="9"/>
      <c r="P141" s="9"/>
      <c r="Q141" s="78"/>
      <c r="R141" s="10"/>
      <c r="S141" s="10"/>
      <c r="T141" s="10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ht="21.75" customHeight="1" x14ac:dyDescent="0.55000000000000004">
      <c r="A142" s="6"/>
      <c r="B142" s="6"/>
      <c r="C142" s="9"/>
      <c r="D142" s="9"/>
      <c r="E142" s="9"/>
      <c r="F142" s="9"/>
      <c r="G142" s="9"/>
      <c r="H142" s="9"/>
      <c r="I142" s="9"/>
      <c r="J142" s="98"/>
      <c r="K142" s="9"/>
      <c r="L142" s="9"/>
      <c r="M142" s="9"/>
      <c r="N142" s="9"/>
      <c r="O142" s="9"/>
      <c r="P142" s="9"/>
      <c r="Q142" s="78"/>
      <c r="R142" s="10"/>
      <c r="S142" s="10"/>
      <c r="T142" s="10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ht="21.75" customHeight="1" x14ac:dyDescent="0.55000000000000004">
      <c r="A143" s="6"/>
      <c r="B143" s="6"/>
      <c r="C143" s="9"/>
      <c r="D143" s="9"/>
      <c r="E143" s="9"/>
      <c r="F143" s="9"/>
      <c r="G143" s="9"/>
      <c r="H143" s="9"/>
      <c r="I143" s="9"/>
      <c r="J143" s="98"/>
      <c r="K143" s="9"/>
      <c r="L143" s="9"/>
      <c r="M143" s="9"/>
      <c r="N143" s="9"/>
      <c r="O143" s="9"/>
      <c r="P143" s="9"/>
      <c r="Q143" s="78"/>
      <c r="R143" s="10"/>
      <c r="S143" s="10"/>
      <c r="T143" s="10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ht="21.75" customHeight="1" x14ac:dyDescent="0.55000000000000004">
      <c r="A144" s="6"/>
      <c r="B144" s="6"/>
      <c r="C144" s="9"/>
      <c r="D144" s="9"/>
      <c r="E144" s="9"/>
      <c r="F144" s="9"/>
      <c r="G144" s="9"/>
      <c r="H144" s="9"/>
      <c r="I144" s="9"/>
      <c r="J144" s="98"/>
      <c r="K144" s="9"/>
      <c r="L144" s="9"/>
      <c r="M144" s="9"/>
      <c r="N144" s="9"/>
      <c r="O144" s="9"/>
      <c r="P144" s="9"/>
      <c r="Q144" s="78"/>
      <c r="R144" s="10"/>
      <c r="S144" s="10"/>
      <c r="T144" s="10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ht="21.75" customHeight="1" x14ac:dyDescent="0.55000000000000004">
      <c r="A145" s="6"/>
      <c r="B145" s="6"/>
      <c r="C145" s="9"/>
      <c r="D145" s="9"/>
      <c r="E145" s="9"/>
      <c r="F145" s="9"/>
      <c r="G145" s="9"/>
      <c r="H145" s="9"/>
      <c r="I145" s="9"/>
      <c r="J145" s="98"/>
      <c r="K145" s="9"/>
      <c r="L145" s="9"/>
      <c r="M145" s="9"/>
      <c r="N145" s="9"/>
      <c r="O145" s="9"/>
      <c r="P145" s="9"/>
      <c r="Q145" s="78"/>
      <c r="R145" s="10"/>
      <c r="S145" s="10"/>
      <c r="T145" s="10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ht="21.75" customHeight="1" x14ac:dyDescent="0.55000000000000004">
      <c r="A146" s="6"/>
      <c r="B146" s="6"/>
      <c r="C146" s="9"/>
      <c r="D146" s="9"/>
      <c r="E146" s="9"/>
      <c r="F146" s="9"/>
      <c r="G146" s="9"/>
      <c r="H146" s="9"/>
      <c r="I146" s="9"/>
      <c r="J146" s="98"/>
      <c r="K146" s="9"/>
      <c r="L146" s="9"/>
      <c r="M146" s="9"/>
      <c r="N146" s="9"/>
      <c r="O146" s="9"/>
      <c r="P146" s="9"/>
      <c r="Q146" s="78"/>
      <c r="R146" s="10"/>
      <c r="S146" s="10"/>
      <c r="T146" s="10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ht="21.75" customHeight="1" x14ac:dyDescent="0.55000000000000004">
      <c r="A147" s="6"/>
      <c r="B147" s="6"/>
      <c r="C147" s="9"/>
      <c r="D147" s="9"/>
      <c r="E147" s="9"/>
      <c r="F147" s="9"/>
      <c r="G147" s="9"/>
      <c r="H147" s="9"/>
      <c r="I147" s="9"/>
      <c r="J147" s="98"/>
      <c r="K147" s="9"/>
      <c r="L147" s="9"/>
      <c r="M147" s="9"/>
      <c r="N147" s="9"/>
      <c r="O147" s="9"/>
      <c r="P147" s="9"/>
      <c r="Q147" s="78"/>
      <c r="R147" s="10"/>
      <c r="S147" s="10"/>
      <c r="T147" s="10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ht="21.75" customHeight="1" x14ac:dyDescent="0.55000000000000004">
      <c r="A148" s="6"/>
      <c r="B148" s="6"/>
      <c r="C148" s="9"/>
      <c r="D148" s="9"/>
      <c r="E148" s="9"/>
      <c r="F148" s="9"/>
      <c r="G148" s="9"/>
      <c r="H148" s="9"/>
      <c r="I148" s="9"/>
      <c r="J148" s="98"/>
      <c r="K148" s="9"/>
      <c r="L148" s="9"/>
      <c r="M148" s="9"/>
      <c r="N148" s="9"/>
      <c r="O148" s="9"/>
      <c r="P148" s="9"/>
      <c r="Q148" s="78"/>
      <c r="R148" s="10"/>
      <c r="S148" s="10"/>
      <c r="T148" s="10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ht="21.75" customHeight="1" x14ac:dyDescent="0.55000000000000004">
      <c r="A149" s="6"/>
      <c r="B149" s="6"/>
      <c r="C149" s="9"/>
      <c r="D149" s="9"/>
      <c r="E149" s="9"/>
      <c r="F149" s="9"/>
      <c r="G149" s="9"/>
      <c r="H149" s="9"/>
      <c r="I149" s="9"/>
      <c r="J149" s="98"/>
      <c r="K149" s="9"/>
      <c r="L149" s="9"/>
      <c r="M149" s="9"/>
      <c r="N149" s="9"/>
      <c r="O149" s="9"/>
      <c r="P149" s="9"/>
      <c r="Q149" s="78"/>
      <c r="R149" s="10"/>
      <c r="S149" s="10"/>
      <c r="T149" s="10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ht="21.75" customHeight="1" x14ac:dyDescent="0.55000000000000004">
      <c r="A150" s="6"/>
      <c r="B150" s="6"/>
      <c r="C150" s="9"/>
      <c r="D150" s="9"/>
      <c r="E150" s="9"/>
      <c r="F150" s="9"/>
      <c r="G150" s="9"/>
      <c r="H150" s="9"/>
      <c r="I150" s="9"/>
      <c r="J150" s="98"/>
      <c r="K150" s="9"/>
      <c r="L150" s="9"/>
      <c r="M150" s="9"/>
      <c r="N150" s="9"/>
      <c r="O150" s="9"/>
      <c r="P150" s="9"/>
      <c r="Q150" s="78"/>
      <c r="R150" s="10"/>
      <c r="S150" s="10"/>
      <c r="T150" s="10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ht="21.75" customHeight="1" x14ac:dyDescent="0.55000000000000004">
      <c r="A151" s="6"/>
      <c r="B151" s="6"/>
      <c r="C151" s="9"/>
      <c r="D151" s="9"/>
      <c r="E151" s="9"/>
      <c r="F151" s="9"/>
      <c r="G151" s="9"/>
      <c r="H151" s="9"/>
      <c r="I151" s="9"/>
      <c r="J151" s="98"/>
      <c r="K151" s="9"/>
      <c r="L151" s="9"/>
      <c r="M151" s="9"/>
      <c r="N151" s="9"/>
      <c r="O151" s="9"/>
      <c r="P151" s="9"/>
      <c r="Q151" s="78"/>
      <c r="R151" s="10"/>
      <c r="S151" s="10"/>
      <c r="T151" s="10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ht="21.75" customHeight="1" x14ac:dyDescent="0.55000000000000004">
      <c r="A152" s="6"/>
      <c r="B152" s="6"/>
      <c r="C152" s="9"/>
      <c r="D152" s="9"/>
      <c r="E152" s="9"/>
      <c r="F152" s="9"/>
      <c r="G152" s="9"/>
      <c r="H152" s="9"/>
      <c r="I152" s="9"/>
      <c r="J152" s="98"/>
      <c r="K152" s="9"/>
      <c r="L152" s="9"/>
      <c r="M152" s="9"/>
      <c r="N152" s="9"/>
      <c r="O152" s="9"/>
      <c r="P152" s="9"/>
      <c r="Q152" s="78"/>
      <c r="R152" s="10"/>
      <c r="S152" s="10"/>
      <c r="T152" s="10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ht="21.75" customHeight="1" x14ac:dyDescent="0.55000000000000004">
      <c r="A153" s="6"/>
      <c r="B153" s="6"/>
      <c r="C153" s="9"/>
      <c r="D153" s="9"/>
      <c r="E153" s="9"/>
      <c r="F153" s="9"/>
      <c r="G153" s="9"/>
      <c r="H153" s="9"/>
      <c r="I153" s="9"/>
      <c r="J153" s="98"/>
      <c r="K153" s="9"/>
      <c r="L153" s="9"/>
      <c r="M153" s="9"/>
      <c r="N153" s="9"/>
      <c r="O153" s="9"/>
      <c r="P153" s="9"/>
      <c r="Q153" s="78"/>
      <c r="R153" s="10"/>
      <c r="S153" s="10"/>
      <c r="T153" s="10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ht="21.75" customHeight="1" x14ac:dyDescent="0.55000000000000004">
      <c r="A154" s="6"/>
      <c r="B154" s="6"/>
      <c r="C154" s="9"/>
      <c r="D154" s="9"/>
      <c r="E154" s="9"/>
      <c r="F154" s="9"/>
      <c r="G154" s="9"/>
      <c r="H154" s="9"/>
      <c r="I154" s="9"/>
      <c r="J154" s="98"/>
      <c r="K154" s="9"/>
      <c r="L154" s="9"/>
      <c r="M154" s="9"/>
      <c r="N154" s="9"/>
      <c r="O154" s="9"/>
      <c r="P154" s="9"/>
      <c r="Q154" s="78"/>
      <c r="R154" s="10"/>
      <c r="S154" s="10"/>
      <c r="T154" s="10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ht="21.75" customHeight="1" x14ac:dyDescent="0.55000000000000004">
      <c r="A155" s="6"/>
      <c r="B155" s="6"/>
      <c r="C155" s="9"/>
      <c r="D155" s="9"/>
      <c r="E155" s="9"/>
      <c r="F155" s="9"/>
      <c r="G155" s="9"/>
      <c r="H155" s="9"/>
      <c r="I155" s="9"/>
      <c r="J155" s="98"/>
      <c r="K155" s="9"/>
      <c r="L155" s="9"/>
      <c r="M155" s="9"/>
      <c r="N155" s="9"/>
      <c r="O155" s="9"/>
      <c r="P155" s="9"/>
      <c r="Q155" s="78"/>
      <c r="R155" s="10"/>
      <c r="S155" s="10"/>
      <c r="T155" s="10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ht="21.75" customHeight="1" x14ac:dyDescent="0.55000000000000004">
      <c r="A156" s="6"/>
      <c r="B156" s="6"/>
      <c r="C156" s="9"/>
      <c r="D156" s="9"/>
      <c r="E156" s="9"/>
      <c r="F156" s="9"/>
      <c r="G156" s="9"/>
      <c r="H156" s="9"/>
      <c r="I156" s="9"/>
      <c r="J156" s="98"/>
      <c r="K156" s="9"/>
      <c r="L156" s="9"/>
      <c r="M156" s="9"/>
      <c r="N156" s="9"/>
      <c r="O156" s="9"/>
      <c r="P156" s="9"/>
      <c r="Q156" s="78"/>
      <c r="R156" s="10"/>
      <c r="S156" s="10"/>
      <c r="T156" s="10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ht="21.75" customHeight="1" x14ac:dyDescent="0.55000000000000004">
      <c r="A157" s="6"/>
      <c r="B157" s="6"/>
      <c r="C157" s="9"/>
      <c r="D157" s="9"/>
      <c r="E157" s="9"/>
      <c r="F157" s="9"/>
      <c r="G157" s="9"/>
      <c r="H157" s="9"/>
      <c r="I157" s="9"/>
      <c r="J157" s="98"/>
      <c r="K157" s="9"/>
      <c r="L157" s="9"/>
      <c r="M157" s="9"/>
      <c r="N157" s="9"/>
      <c r="O157" s="9"/>
      <c r="P157" s="9"/>
      <c r="Q157" s="78"/>
      <c r="R157" s="10"/>
      <c r="S157" s="10"/>
      <c r="T157" s="10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ht="21.75" customHeight="1" x14ac:dyDescent="0.55000000000000004">
      <c r="A158" s="6"/>
      <c r="B158" s="6"/>
      <c r="C158" s="9"/>
      <c r="D158" s="9"/>
      <c r="E158" s="9"/>
      <c r="F158" s="9"/>
      <c r="G158" s="9"/>
      <c r="H158" s="9"/>
      <c r="I158" s="9"/>
      <c r="J158" s="98"/>
      <c r="K158" s="9"/>
      <c r="L158" s="9"/>
      <c r="M158" s="9"/>
      <c r="N158" s="9"/>
      <c r="O158" s="9"/>
      <c r="P158" s="9"/>
      <c r="Q158" s="78"/>
      <c r="R158" s="10"/>
      <c r="S158" s="10"/>
      <c r="T158" s="10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ht="21.75" customHeight="1" x14ac:dyDescent="0.55000000000000004">
      <c r="A159" s="6"/>
      <c r="B159" s="6"/>
      <c r="C159" s="9"/>
      <c r="D159" s="9"/>
      <c r="E159" s="9"/>
      <c r="F159" s="9"/>
      <c r="G159" s="9"/>
      <c r="H159" s="9"/>
      <c r="I159" s="9"/>
      <c r="J159" s="98"/>
      <c r="K159" s="9"/>
      <c r="L159" s="9"/>
      <c r="M159" s="9"/>
      <c r="N159" s="9"/>
      <c r="O159" s="9"/>
      <c r="P159" s="9"/>
      <c r="Q159" s="78"/>
      <c r="R159" s="10"/>
      <c r="S159" s="10"/>
      <c r="T159" s="10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ht="21.75" customHeight="1" x14ac:dyDescent="0.55000000000000004">
      <c r="A160" s="6"/>
      <c r="B160" s="6"/>
      <c r="C160" s="9"/>
      <c r="D160" s="9"/>
      <c r="E160" s="9"/>
      <c r="F160" s="9"/>
      <c r="G160" s="9"/>
      <c r="H160" s="9"/>
      <c r="I160" s="9"/>
      <c r="J160" s="98"/>
      <c r="K160" s="9"/>
      <c r="L160" s="9"/>
      <c r="M160" s="9"/>
      <c r="N160" s="9"/>
      <c r="O160" s="9"/>
      <c r="P160" s="9"/>
      <c r="Q160" s="78"/>
      <c r="R160" s="10"/>
      <c r="S160" s="10"/>
      <c r="T160" s="10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ht="21.75" customHeight="1" x14ac:dyDescent="0.55000000000000004">
      <c r="A161" s="6"/>
      <c r="B161" s="6"/>
      <c r="C161" s="9"/>
      <c r="D161" s="9"/>
      <c r="E161" s="9"/>
      <c r="F161" s="9"/>
      <c r="G161" s="9"/>
      <c r="H161" s="9"/>
      <c r="I161" s="9"/>
      <c r="J161" s="98"/>
      <c r="K161" s="9"/>
      <c r="L161" s="9"/>
      <c r="M161" s="9"/>
      <c r="N161" s="9"/>
      <c r="O161" s="9"/>
      <c r="P161" s="9"/>
      <c r="Q161" s="78"/>
      <c r="R161" s="10"/>
      <c r="S161" s="10"/>
      <c r="T161" s="10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ht="21.75" customHeight="1" x14ac:dyDescent="0.55000000000000004">
      <c r="A162" s="6"/>
      <c r="B162" s="6"/>
      <c r="C162" s="9"/>
      <c r="D162" s="9"/>
      <c r="E162" s="9"/>
      <c r="F162" s="9"/>
      <c r="G162" s="9"/>
      <c r="H162" s="9"/>
      <c r="I162" s="9"/>
      <c r="J162" s="98"/>
      <c r="K162" s="9"/>
      <c r="L162" s="9"/>
      <c r="M162" s="9"/>
      <c r="N162" s="9"/>
      <c r="O162" s="9"/>
      <c r="P162" s="9"/>
      <c r="Q162" s="78"/>
      <c r="R162" s="10"/>
      <c r="S162" s="10"/>
      <c r="T162" s="10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ht="21.75" customHeight="1" x14ac:dyDescent="0.55000000000000004">
      <c r="A163" s="6"/>
      <c r="B163" s="6"/>
      <c r="C163" s="9"/>
      <c r="D163" s="9"/>
      <c r="E163" s="9"/>
      <c r="F163" s="9"/>
      <c r="G163" s="9"/>
      <c r="H163" s="9"/>
      <c r="I163" s="9"/>
      <c r="J163" s="98"/>
      <c r="K163" s="9"/>
      <c r="L163" s="9"/>
      <c r="M163" s="9"/>
      <c r="N163" s="9"/>
      <c r="O163" s="9"/>
      <c r="P163" s="9"/>
      <c r="Q163" s="78"/>
      <c r="R163" s="10"/>
      <c r="S163" s="10"/>
      <c r="T163" s="10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ht="21.75" customHeight="1" x14ac:dyDescent="0.55000000000000004">
      <c r="A164" s="6"/>
      <c r="B164" s="6"/>
      <c r="C164" s="9"/>
      <c r="D164" s="9"/>
      <c r="E164" s="9"/>
      <c r="F164" s="9"/>
      <c r="G164" s="9"/>
      <c r="H164" s="9"/>
      <c r="I164" s="9"/>
      <c r="J164" s="98"/>
      <c r="K164" s="9"/>
      <c r="L164" s="9"/>
      <c r="M164" s="9"/>
      <c r="N164" s="9"/>
      <c r="O164" s="9"/>
      <c r="P164" s="9"/>
      <c r="Q164" s="78"/>
      <c r="R164" s="10"/>
      <c r="S164" s="10"/>
      <c r="T164" s="10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ht="21.75" customHeight="1" x14ac:dyDescent="0.55000000000000004">
      <c r="A165" s="6"/>
      <c r="B165" s="6"/>
      <c r="C165" s="9"/>
      <c r="D165" s="9"/>
      <c r="E165" s="9"/>
      <c r="F165" s="9"/>
      <c r="G165" s="9"/>
      <c r="H165" s="9"/>
      <c r="I165" s="9"/>
      <c r="J165" s="98"/>
      <c r="K165" s="9"/>
      <c r="L165" s="9"/>
      <c r="M165" s="9"/>
      <c r="N165" s="9"/>
      <c r="O165" s="9"/>
      <c r="P165" s="9"/>
      <c r="Q165" s="78"/>
      <c r="R165" s="10"/>
      <c r="S165" s="10"/>
      <c r="T165" s="10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ht="21.75" customHeight="1" x14ac:dyDescent="0.55000000000000004">
      <c r="A166" s="6"/>
      <c r="B166" s="6"/>
      <c r="C166" s="9"/>
      <c r="D166" s="9"/>
      <c r="E166" s="9"/>
      <c r="F166" s="9"/>
      <c r="G166" s="9"/>
      <c r="H166" s="9"/>
      <c r="I166" s="9"/>
      <c r="J166" s="98"/>
      <c r="K166" s="9"/>
      <c r="L166" s="9"/>
      <c r="M166" s="9"/>
      <c r="N166" s="9"/>
      <c r="O166" s="9"/>
      <c r="P166" s="9"/>
      <c r="Q166" s="78"/>
      <c r="R166" s="10"/>
      <c r="S166" s="10"/>
      <c r="T166" s="10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ht="21.75" customHeight="1" x14ac:dyDescent="0.55000000000000004">
      <c r="A167" s="6"/>
      <c r="B167" s="6"/>
      <c r="C167" s="9"/>
      <c r="D167" s="9"/>
      <c r="E167" s="9"/>
      <c r="F167" s="9"/>
      <c r="G167" s="9"/>
      <c r="H167" s="9"/>
      <c r="I167" s="9"/>
      <c r="J167" s="98"/>
      <c r="K167" s="9"/>
      <c r="L167" s="9"/>
      <c r="M167" s="9"/>
      <c r="N167" s="9"/>
      <c r="O167" s="9"/>
      <c r="P167" s="9"/>
      <c r="Q167" s="78"/>
      <c r="R167" s="10"/>
      <c r="S167" s="10"/>
      <c r="T167" s="10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ht="21.75" customHeight="1" x14ac:dyDescent="0.55000000000000004">
      <c r="A168" s="6"/>
      <c r="B168" s="6"/>
      <c r="C168" s="9"/>
      <c r="D168" s="9"/>
      <c r="E168" s="9"/>
      <c r="F168" s="9"/>
      <c r="G168" s="9"/>
      <c r="H168" s="9"/>
      <c r="I168" s="9"/>
      <c r="J168" s="98"/>
      <c r="K168" s="9"/>
      <c r="L168" s="9"/>
      <c r="M168" s="9"/>
      <c r="N168" s="9"/>
      <c r="O168" s="9"/>
      <c r="P168" s="9"/>
      <c r="Q168" s="78"/>
      <c r="R168" s="10"/>
      <c r="S168" s="10"/>
      <c r="T168" s="10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ht="21.75" customHeight="1" x14ac:dyDescent="0.55000000000000004">
      <c r="A169" s="6"/>
      <c r="B169" s="6"/>
      <c r="C169" s="9"/>
      <c r="D169" s="9"/>
      <c r="E169" s="9"/>
      <c r="F169" s="9"/>
      <c r="G169" s="9"/>
      <c r="H169" s="9"/>
      <c r="I169" s="9"/>
      <c r="J169" s="98"/>
      <c r="K169" s="9"/>
      <c r="L169" s="9"/>
      <c r="M169" s="9"/>
      <c r="N169" s="9"/>
      <c r="O169" s="9"/>
      <c r="P169" s="9"/>
      <c r="Q169" s="78"/>
      <c r="R169" s="10"/>
      <c r="S169" s="10"/>
      <c r="T169" s="10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ht="21.75" customHeight="1" x14ac:dyDescent="0.55000000000000004">
      <c r="A170" s="6"/>
      <c r="B170" s="6"/>
      <c r="C170" s="9"/>
      <c r="D170" s="9"/>
      <c r="E170" s="9"/>
      <c r="F170" s="9"/>
      <c r="G170" s="9"/>
      <c r="H170" s="9"/>
      <c r="I170" s="9"/>
      <c r="J170" s="98"/>
      <c r="K170" s="9"/>
      <c r="L170" s="9"/>
      <c r="M170" s="9"/>
      <c r="N170" s="9"/>
      <c r="O170" s="9"/>
      <c r="P170" s="9"/>
      <c r="Q170" s="78"/>
      <c r="R170" s="10"/>
      <c r="S170" s="10"/>
      <c r="T170" s="10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ht="21.75" customHeight="1" x14ac:dyDescent="0.55000000000000004">
      <c r="A171" s="6"/>
      <c r="B171" s="6"/>
      <c r="C171" s="9"/>
      <c r="D171" s="9"/>
      <c r="E171" s="9"/>
      <c r="F171" s="9"/>
      <c r="G171" s="9"/>
      <c r="H171" s="9"/>
      <c r="I171" s="9"/>
      <c r="J171" s="98"/>
      <c r="K171" s="9"/>
      <c r="L171" s="9"/>
      <c r="M171" s="9"/>
      <c r="N171" s="9"/>
      <c r="O171" s="9"/>
      <c r="P171" s="9"/>
      <c r="Q171" s="78"/>
      <c r="R171" s="10"/>
      <c r="S171" s="10"/>
      <c r="T171" s="10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ht="21.75" customHeight="1" x14ac:dyDescent="0.55000000000000004">
      <c r="A172" s="6"/>
      <c r="B172" s="6"/>
      <c r="C172" s="9"/>
      <c r="D172" s="9"/>
      <c r="E172" s="9"/>
      <c r="F172" s="9"/>
      <c r="G172" s="9"/>
      <c r="H172" s="9"/>
      <c r="I172" s="9"/>
      <c r="J172" s="98"/>
      <c r="K172" s="9"/>
      <c r="L172" s="9"/>
      <c r="M172" s="9"/>
      <c r="N172" s="9"/>
      <c r="O172" s="9"/>
      <c r="P172" s="9"/>
      <c r="Q172" s="78"/>
      <c r="R172" s="10"/>
      <c r="S172" s="10"/>
      <c r="T172" s="10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ht="21.75" customHeight="1" x14ac:dyDescent="0.55000000000000004">
      <c r="A173" s="6"/>
      <c r="B173" s="6"/>
      <c r="C173" s="9"/>
      <c r="D173" s="9"/>
      <c r="E173" s="9"/>
      <c r="F173" s="9"/>
      <c r="G173" s="9"/>
      <c r="H173" s="9"/>
      <c r="I173" s="9"/>
      <c r="J173" s="98"/>
      <c r="K173" s="9"/>
      <c r="L173" s="9"/>
      <c r="M173" s="9"/>
      <c r="N173" s="9"/>
      <c r="O173" s="9"/>
      <c r="P173" s="9"/>
      <c r="Q173" s="78"/>
      <c r="R173" s="10"/>
      <c r="S173" s="10"/>
      <c r="T173" s="10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ht="21.75" customHeight="1" x14ac:dyDescent="0.55000000000000004">
      <c r="A174" s="6"/>
      <c r="B174" s="6"/>
      <c r="C174" s="9"/>
      <c r="D174" s="9"/>
      <c r="E174" s="9"/>
      <c r="F174" s="9"/>
      <c r="G174" s="9"/>
      <c r="H174" s="9"/>
      <c r="I174" s="9"/>
      <c r="J174" s="98"/>
      <c r="K174" s="9"/>
      <c r="L174" s="9"/>
      <c r="M174" s="9"/>
      <c r="N174" s="9"/>
      <c r="O174" s="9"/>
      <c r="P174" s="9"/>
      <c r="Q174" s="78"/>
      <c r="R174" s="10"/>
      <c r="S174" s="10"/>
      <c r="T174" s="10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ht="21.75" customHeight="1" x14ac:dyDescent="0.55000000000000004">
      <c r="A175" s="6"/>
      <c r="B175" s="6"/>
      <c r="C175" s="9"/>
      <c r="D175" s="9"/>
      <c r="E175" s="9"/>
      <c r="F175" s="9"/>
      <c r="G175" s="9"/>
      <c r="H175" s="9"/>
      <c r="I175" s="9"/>
      <c r="J175" s="98"/>
      <c r="K175" s="9"/>
      <c r="L175" s="9"/>
      <c r="M175" s="9"/>
      <c r="N175" s="9"/>
      <c r="O175" s="9"/>
      <c r="P175" s="9"/>
      <c r="Q175" s="78"/>
      <c r="R175" s="10"/>
      <c r="S175" s="10"/>
      <c r="T175" s="10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ht="21.75" customHeight="1" x14ac:dyDescent="0.55000000000000004">
      <c r="A176" s="6"/>
      <c r="B176" s="6"/>
      <c r="C176" s="9"/>
      <c r="D176" s="9"/>
      <c r="E176" s="9"/>
      <c r="F176" s="9"/>
      <c r="G176" s="9"/>
      <c r="H176" s="9"/>
      <c r="I176" s="9"/>
      <c r="J176" s="98"/>
      <c r="K176" s="9"/>
      <c r="L176" s="9"/>
      <c r="M176" s="9"/>
      <c r="N176" s="9"/>
      <c r="O176" s="9"/>
      <c r="P176" s="9"/>
      <c r="Q176" s="78"/>
      <c r="R176" s="10"/>
      <c r="S176" s="10"/>
      <c r="T176" s="10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ht="21.75" customHeight="1" x14ac:dyDescent="0.55000000000000004">
      <c r="A177" s="6"/>
      <c r="B177" s="6"/>
      <c r="C177" s="9"/>
      <c r="D177" s="9"/>
      <c r="E177" s="9"/>
      <c r="F177" s="9"/>
      <c r="G177" s="9"/>
      <c r="H177" s="9"/>
      <c r="I177" s="9"/>
      <c r="J177" s="98"/>
      <c r="K177" s="9"/>
      <c r="L177" s="9"/>
      <c r="M177" s="9"/>
      <c r="N177" s="9"/>
      <c r="O177" s="9"/>
      <c r="P177" s="9"/>
      <c r="Q177" s="78"/>
      <c r="R177" s="10"/>
      <c r="S177" s="10"/>
      <c r="T177" s="10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ht="21.75" customHeight="1" x14ac:dyDescent="0.55000000000000004">
      <c r="A178" s="6"/>
      <c r="B178" s="6"/>
      <c r="C178" s="9"/>
      <c r="D178" s="9"/>
      <c r="E178" s="9"/>
      <c r="F178" s="9"/>
      <c r="G178" s="9"/>
      <c r="H178" s="9"/>
      <c r="I178" s="9"/>
      <c r="J178" s="98"/>
      <c r="K178" s="9"/>
      <c r="L178" s="9"/>
      <c r="M178" s="9"/>
      <c r="N178" s="9"/>
      <c r="O178" s="9"/>
      <c r="P178" s="9"/>
      <c r="Q178" s="78"/>
      <c r="R178" s="10"/>
      <c r="S178" s="10"/>
      <c r="T178" s="10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ht="21.75" customHeight="1" x14ac:dyDescent="0.55000000000000004">
      <c r="A179" s="6"/>
      <c r="B179" s="6"/>
      <c r="C179" s="9"/>
      <c r="D179" s="9"/>
      <c r="E179" s="9"/>
      <c r="F179" s="9"/>
      <c r="G179" s="9"/>
      <c r="H179" s="9"/>
      <c r="I179" s="9"/>
      <c r="J179" s="98"/>
      <c r="K179" s="9"/>
      <c r="L179" s="9"/>
      <c r="M179" s="9"/>
      <c r="N179" s="9"/>
      <c r="O179" s="9"/>
      <c r="P179" s="9"/>
      <c r="Q179" s="78"/>
      <c r="R179" s="10"/>
      <c r="S179" s="10"/>
      <c r="T179" s="10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ht="21.75" customHeight="1" x14ac:dyDescent="0.55000000000000004">
      <c r="A180" s="6"/>
      <c r="B180" s="6"/>
      <c r="C180" s="9"/>
      <c r="D180" s="9"/>
      <c r="E180" s="9"/>
      <c r="F180" s="9"/>
      <c r="G180" s="9"/>
      <c r="H180" s="9"/>
      <c r="I180" s="9"/>
      <c r="J180" s="98"/>
      <c r="K180" s="9"/>
      <c r="L180" s="9"/>
      <c r="M180" s="9"/>
      <c r="N180" s="9"/>
      <c r="O180" s="9"/>
      <c r="P180" s="9"/>
      <c r="Q180" s="78"/>
      <c r="R180" s="10"/>
      <c r="S180" s="10"/>
      <c r="T180" s="10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ht="21.75" customHeight="1" x14ac:dyDescent="0.55000000000000004">
      <c r="A181" s="6"/>
      <c r="B181" s="6"/>
      <c r="C181" s="9"/>
      <c r="D181" s="9"/>
      <c r="E181" s="9"/>
      <c r="F181" s="9"/>
      <c r="G181" s="9"/>
      <c r="H181" s="9"/>
      <c r="I181" s="9"/>
      <c r="J181" s="98"/>
      <c r="K181" s="9"/>
      <c r="L181" s="9"/>
      <c r="M181" s="9"/>
      <c r="N181" s="9"/>
      <c r="O181" s="9"/>
      <c r="P181" s="9"/>
      <c r="Q181" s="78"/>
      <c r="R181" s="10"/>
      <c r="S181" s="10"/>
      <c r="T181" s="10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ht="21.75" customHeight="1" x14ac:dyDescent="0.55000000000000004">
      <c r="A182" s="6"/>
      <c r="B182" s="6"/>
      <c r="C182" s="9"/>
      <c r="D182" s="9"/>
      <c r="E182" s="9"/>
      <c r="F182" s="9"/>
      <c r="G182" s="9"/>
      <c r="H182" s="9"/>
      <c r="I182" s="9"/>
      <c r="J182" s="98"/>
      <c r="K182" s="9"/>
      <c r="L182" s="9"/>
      <c r="M182" s="9"/>
      <c r="N182" s="9"/>
      <c r="O182" s="9"/>
      <c r="P182" s="9"/>
      <c r="Q182" s="78"/>
      <c r="R182" s="10"/>
      <c r="S182" s="10"/>
      <c r="T182" s="10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ht="21.75" customHeight="1" x14ac:dyDescent="0.55000000000000004">
      <c r="A183" s="6"/>
      <c r="B183" s="6"/>
      <c r="C183" s="9"/>
      <c r="D183" s="9"/>
      <c r="E183" s="9"/>
      <c r="F183" s="9"/>
      <c r="G183" s="9"/>
      <c r="H183" s="9"/>
      <c r="I183" s="9"/>
      <c r="J183" s="98"/>
      <c r="K183" s="9"/>
      <c r="L183" s="9"/>
      <c r="M183" s="9"/>
      <c r="N183" s="9"/>
      <c r="O183" s="9"/>
      <c r="P183" s="9"/>
      <c r="Q183" s="78"/>
      <c r="R183" s="10"/>
      <c r="S183" s="10"/>
      <c r="T183" s="10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ht="21.75" customHeight="1" x14ac:dyDescent="0.55000000000000004">
      <c r="A184" s="6"/>
      <c r="B184" s="6"/>
      <c r="C184" s="9"/>
      <c r="D184" s="9"/>
      <c r="E184" s="9"/>
      <c r="F184" s="9"/>
      <c r="G184" s="9"/>
      <c r="H184" s="9"/>
      <c r="I184" s="9"/>
      <c r="J184" s="98"/>
      <c r="K184" s="9"/>
      <c r="L184" s="9"/>
      <c r="M184" s="9"/>
      <c r="N184" s="9"/>
      <c r="O184" s="9"/>
      <c r="P184" s="9"/>
      <c r="Q184" s="78"/>
      <c r="R184" s="10"/>
      <c r="S184" s="10"/>
      <c r="T184" s="10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ht="21.75" customHeight="1" x14ac:dyDescent="0.55000000000000004">
      <c r="A185" s="6"/>
      <c r="B185" s="6"/>
      <c r="C185" s="9"/>
      <c r="D185" s="9"/>
      <c r="E185" s="9"/>
      <c r="F185" s="9"/>
      <c r="G185" s="9"/>
      <c r="H185" s="9"/>
      <c r="I185" s="9"/>
      <c r="J185" s="98"/>
      <c r="K185" s="9"/>
      <c r="L185" s="9"/>
      <c r="M185" s="9"/>
      <c r="N185" s="9"/>
      <c r="O185" s="9"/>
      <c r="P185" s="9"/>
      <c r="Q185" s="78"/>
      <c r="R185" s="10"/>
      <c r="S185" s="10"/>
      <c r="T185" s="10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ht="21.75" customHeight="1" x14ac:dyDescent="0.55000000000000004">
      <c r="A186" s="6"/>
      <c r="B186" s="6"/>
      <c r="C186" s="9"/>
      <c r="D186" s="9"/>
      <c r="E186" s="9"/>
      <c r="F186" s="9"/>
      <c r="G186" s="9"/>
      <c r="H186" s="9"/>
      <c r="I186" s="9"/>
      <c r="J186" s="98"/>
      <c r="K186" s="9"/>
      <c r="L186" s="9"/>
      <c r="M186" s="9"/>
      <c r="N186" s="9"/>
      <c r="O186" s="9"/>
      <c r="P186" s="9"/>
      <c r="Q186" s="78"/>
      <c r="R186" s="10"/>
      <c r="S186" s="10"/>
      <c r="T186" s="10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ht="21.75" customHeight="1" x14ac:dyDescent="0.55000000000000004">
      <c r="A187" s="6"/>
      <c r="B187" s="6"/>
      <c r="C187" s="9"/>
      <c r="D187" s="9"/>
      <c r="E187" s="9"/>
      <c r="F187" s="9"/>
      <c r="G187" s="9"/>
      <c r="H187" s="9"/>
      <c r="I187" s="9"/>
      <c r="J187" s="98"/>
      <c r="K187" s="9"/>
      <c r="L187" s="9"/>
      <c r="M187" s="9"/>
      <c r="N187" s="9"/>
      <c r="O187" s="9"/>
      <c r="P187" s="9"/>
      <c r="Q187" s="78"/>
      <c r="R187" s="10"/>
      <c r="S187" s="10"/>
      <c r="T187" s="10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ht="21.75" customHeight="1" x14ac:dyDescent="0.55000000000000004">
      <c r="A188" s="6"/>
      <c r="B188" s="6"/>
      <c r="C188" s="9"/>
      <c r="D188" s="9"/>
      <c r="E188" s="9"/>
      <c r="F188" s="9"/>
      <c r="G188" s="9"/>
      <c r="H188" s="9"/>
      <c r="I188" s="9"/>
      <c r="J188" s="98"/>
      <c r="K188" s="9"/>
      <c r="L188" s="9"/>
      <c r="M188" s="9"/>
      <c r="N188" s="9"/>
      <c r="O188" s="9"/>
      <c r="P188" s="9"/>
      <c r="Q188" s="78"/>
      <c r="R188" s="10"/>
      <c r="S188" s="10"/>
      <c r="T188" s="10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ht="21.75" customHeight="1" x14ac:dyDescent="0.55000000000000004">
      <c r="A189" s="6"/>
      <c r="B189" s="6"/>
      <c r="C189" s="9"/>
      <c r="D189" s="9"/>
      <c r="E189" s="9"/>
      <c r="F189" s="9"/>
      <c r="G189" s="9"/>
      <c r="H189" s="9"/>
      <c r="I189" s="9"/>
      <c r="J189" s="98"/>
      <c r="K189" s="9"/>
      <c r="L189" s="9"/>
      <c r="M189" s="9"/>
      <c r="N189" s="9"/>
      <c r="O189" s="9"/>
      <c r="P189" s="9"/>
      <c r="Q189" s="78"/>
      <c r="R189" s="10"/>
      <c r="S189" s="10"/>
      <c r="T189" s="10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ht="21.75" customHeight="1" x14ac:dyDescent="0.55000000000000004">
      <c r="A190" s="6"/>
      <c r="B190" s="6"/>
      <c r="C190" s="9"/>
      <c r="D190" s="9"/>
      <c r="E190" s="9"/>
      <c r="F190" s="9"/>
      <c r="G190" s="9"/>
      <c r="H190" s="9"/>
      <c r="I190" s="9"/>
      <c r="J190" s="98"/>
      <c r="K190" s="9"/>
      <c r="L190" s="9"/>
      <c r="M190" s="9"/>
      <c r="N190" s="9"/>
      <c r="O190" s="9"/>
      <c r="P190" s="9"/>
      <c r="Q190" s="78"/>
      <c r="R190" s="10"/>
      <c r="S190" s="10"/>
      <c r="T190" s="10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ht="21.75" customHeight="1" x14ac:dyDescent="0.55000000000000004">
      <c r="A191" s="6"/>
      <c r="B191" s="6"/>
      <c r="C191" s="9"/>
      <c r="D191" s="9"/>
      <c r="E191" s="9"/>
      <c r="F191" s="9"/>
      <c r="G191" s="9"/>
      <c r="H191" s="9"/>
      <c r="I191" s="9"/>
      <c r="J191" s="98"/>
      <c r="K191" s="9"/>
      <c r="L191" s="9"/>
      <c r="M191" s="9"/>
      <c r="N191" s="9"/>
      <c r="O191" s="9"/>
      <c r="P191" s="9"/>
      <c r="Q191" s="78"/>
      <c r="R191" s="10"/>
      <c r="S191" s="10"/>
      <c r="T191" s="10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ht="21.75" customHeight="1" x14ac:dyDescent="0.55000000000000004">
      <c r="A192" s="6"/>
      <c r="B192" s="6"/>
      <c r="C192" s="9"/>
      <c r="D192" s="9"/>
      <c r="E192" s="9"/>
      <c r="F192" s="9"/>
      <c r="G192" s="9"/>
      <c r="H192" s="9"/>
      <c r="I192" s="9"/>
      <c r="J192" s="98"/>
      <c r="K192" s="9"/>
      <c r="L192" s="9"/>
      <c r="M192" s="9"/>
      <c r="N192" s="9"/>
      <c r="O192" s="9"/>
      <c r="P192" s="9"/>
      <c r="Q192" s="78"/>
      <c r="R192" s="10"/>
      <c r="S192" s="10"/>
      <c r="T192" s="10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ht="21.75" customHeight="1" x14ac:dyDescent="0.55000000000000004">
      <c r="A193" s="6"/>
      <c r="B193" s="6"/>
      <c r="C193" s="9"/>
      <c r="D193" s="9"/>
      <c r="E193" s="9"/>
      <c r="F193" s="9"/>
      <c r="G193" s="9"/>
      <c r="H193" s="9"/>
      <c r="I193" s="9"/>
      <c r="J193" s="98"/>
      <c r="K193" s="9"/>
      <c r="L193" s="9"/>
      <c r="M193" s="9"/>
      <c r="N193" s="9"/>
      <c r="O193" s="9"/>
      <c r="P193" s="9"/>
      <c r="Q193" s="78"/>
      <c r="R193" s="10"/>
      <c r="S193" s="10"/>
      <c r="T193" s="10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ht="21.75" customHeight="1" x14ac:dyDescent="0.55000000000000004">
      <c r="A194" s="6"/>
      <c r="B194" s="6"/>
      <c r="C194" s="9"/>
      <c r="D194" s="9"/>
      <c r="E194" s="9"/>
      <c r="F194" s="9"/>
      <c r="G194" s="9"/>
      <c r="H194" s="9"/>
      <c r="I194" s="9"/>
      <c r="J194" s="98"/>
      <c r="K194" s="9"/>
      <c r="L194" s="9"/>
      <c r="M194" s="9"/>
      <c r="N194" s="9"/>
      <c r="O194" s="9"/>
      <c r="P194" s="9"/>
      <c r="Q194" s="78"/>
      <c r="R194" s="10"/>
      <c r="S194" s="10"/>
      <c r="T194" s="10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ht="21.75" customHeight="1" x14ac:dyDescent="0.55000000000000004">
      <c r="A195" s="6"/>
      <c r="B195" s="6"/>
      <c r="C195" s="9"/>
      <c r="D195" s="9"/>
      <c r="E195" s="9"/>
      <c r="F195" s="9"/>
      <c r="G195" s="9"/>
      <c r="H195" s="9"/>
      <c r="I195" s="9"/>
      <c r="J195" s="98"/>
      <c r="K195" s="9"/>
      <c r="L195" s="9"/>
      <c r="M195" s="9"/>
      <c r="N195" s="9"/>
      <c r="O195" s="9"/>
      <c r="P195" s="9"/>
      <c r="Q195" s="78"/>
      <c r="R195" s="10"/>
      <c r="S195" s="10"/>
      <c r="T195" s="10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ht="21.75" customHeight="1" x14ac:dyDescent="0.55000000000000004">
      <c r="A196" s="6"/>
      <c r="B196" s="6"/>
      <c r="C196" s="9"/>
      <c r="D196" s="9"/>
      <c r="E196" s="9"/>
      <c r="F196" s="9"/>
      <c r="G196" s="9"/>
      <c r="H196" s="9"/>
      <c r="I196" s="9"/>
      <c r="J196" s="98"/>
      <c r="K196" s="9"/>
      <c r="L196" s="9"/>
      <c r="M196" s="9"/>
      <c r="N196" s="9"/>
      <c r="O196" s="9"/>
      <c r="P196" s="9"/>
      <c r="Q196" s="78"/>
      <c r="R196" s="10"/>
      <c r="S196" s="10"/>
      <c r="T196" s="10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ht="21.75" customHeight="1" x14ac:dyDescent="0.55000000000000004">
      <c r="A197" s="6"/>
      <c r="B197" s="6"/>
      <c r="C197" s="9"/>
      <c r="D197" s="9"/>
      <c r="E197" s="9"/>
      <c r="F197" s="9"/>
      <c r="G197" s="9"/>
      <c r="H197" s="9"/>
      <c r="I197" s="9"/>
      <c r="J197" s="98"/>
      <c r="K197" s="9"/>
      <c r="L197" s="9"/>
      <c r="M197" s="9"/>
      <c r="N197" s="9"/>
      <c r="O197" s="9"/>
      <c r="P197" s="9"/>
      <c r="Q197" s="78"/>
      <c r="R197" s="10"/>
      <c r="S197" s="10"/>
      <c r="T197" s="10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ht="21.75" customHeight="1" x14ac:dyDescent="0.55000000000000004">
      <c r="A198" s="6"/>
      <c r="B198" s="6"/>
      <c r="C198" s="9"/>
      <c r="D198" s="9"/>
      <c r="E198" s="9"/>
      <c r="F198" s="9"/>
      <c r="G198" s="9"/>
      <c r="H198" s="9"/>
      <c r="I198" s="9"/>
      <c r="J198" s="98"/>
      <c r="K198" s="9"/>
      <c r="L198" s="9"/>
      <c r="M198" s="9"/>
      <c r="N198" s="9"/>
      <c r="O198" s="9"/>
      <c r="P198" s="9"/>
      <c r="Q198" s="78"/>
      <c r="R198" s="10"/>
      <c r="S198" s="10"/>
      <c r="T198" s="10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ht="21.75" customHeight="1" x14ac:dyDescent="0.55000000000000004">
      <c r="A199" s="6"/>
      <c r="B199" s="6"/>
      <c r="C199" s="9"/>
      <c r="D199" s="9"/>
      <c r="E199" s="9"/>
      <c r="F199" s="9"/>
      <c r="G199" s="9"/>
      <c r="H199" s="9"/>
      <c r="I199" s="9"/>
      <c r="J199" s="98"/>
      <c r="K199" s="9"/>
      <c r="L199" s="9"/>
      <c r="M199" s="9"/>
      <c r="N199" s="9"/>
      <c r="O199" s="9"/>
      <c r="P199" s="9"/>
      <c r="Q199" s="78"/>
      <c r="R199" s="10"/>
      <c r="S199" s="10"/>
      <c r="T199" s="10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ht="21.75" customHeight="1" x14ac:dyDescent="0.55000000000000004">
      <c r="A200" s="6"/>
      <c r="B200" s="6"/>
      <c r="C200" s="9"/>
      <c r="D200" s="9"/>
      <c r="E200" s="9"/>
      <c r="F200" s="9"/>
      <c r="G200" s="9"/>
      <c r="H200" s="9"/>
      <c r="I200" s="9"/>
      <c r="J200" s="98"/>
      <c r="K200" s="9"/>
      <c r="L200" s="9"/>
      <c r="M200" s="9"/>
      <c r="N200" s="9"/>
      <c r="O200" s="9"/>
      <c r="P200" s="9"/>
      <c r="Q200" s="78"/>
      <c r="R200" s="10"/>
      <c r="S200" s="10"/>
      <c r="T200" s="10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ht="21.75" customHeight="1" x14ac:dyDescent="0.55000000000000004">
      <c r="A201" s="6"/>
      <c r="B201" s="6"/>
      <c r="C201" s="9"/>
      <c r="D201" s="9"/>
      <c r="E201" s="9"/>
      <c r="F201" s="9"/>
      <c r="G201" s="9"/>
      <c r="H201" s="9"/>
      <c r="I201" s="9"/>
      <c r="J201" s="98"/>
      <c r="K201" s="9"/>
      <c r="L201" s="9"/>
      <c r="M201" s="9"/>
      <c r="N201" s="9"/>
      <c r="O201" s="9"/>
      <c r="P201" s="9"/>
      <c r="Q201" s="78"/>
      <c r="R201" s="10"/>
      <c r="S201" s="10"/>
      <c r="T201" s="10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ht="21.75" customHeight="1" x14ac:dyDescent="0.55000000000000004">
      <c r="A202" s="6"/>
      <c r="B202" s="6"/>
      <c r="C202" s="9"/>
      <c r="D202" s="9"/>
      <c r="E202" s="9"/>
      <c r="F202" s="9"/>
      <c r="G202" s="9"/>
      <c r="H202" s="9"/>
      <c r="I202" s="9"/>
      <c r="J202" s="98"/>
      <c r="K202" s="9"/>
      <c r="L202" s="9"/>
      <c r="M202" s="9"/>
      <c r="N202" s="9"/>
      <c r="O202" s="9"/>
      <c r="P202" s="9"/>
      <c r="Q202" s="78"/>
      <c r="R202" s="10"/>
      <c r="S202" s="10"/>
      <c r="T202" s="10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ht="21.75" customHeight="1" x14ac:dyDescent="0.55000000000000004">
      <c r="A203" s="6"/>
      <c r="B203" s="6"/>
      <c r="C203" s="9"/>
      <c r="D203" s="9"/>
      <c r="E203" s="9"/>
      <c r="F203" s="9"/>
      <c r="G203" s="9"/>
      <c r="H203" s="9"/>
      <c r="I203" s="9"/>
      <c r="J203" s="98"/>
      <c r="K203" s="9"/>
      <c r="L203" s="9"/>
      <c r="M203" s="9"/>
      <c r="N203" s="9"/>
      <c r="O203" s="9"/>
      <c r="P203" s="9"/>
      <c r="Q203" s="78"/>
      <c r="R203" s="10"/>
      <c r="S203" s="10"/>
      <c r="T203" s="10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ht="21.75" customHeight="1" x14ac:dyDescent="0.55000000000000004">
      <c r="A204" s="6"/>
      <c r="B204" s="6"/>
      <c r="C204" s="9"/>
      <c r="D204" s="9"/>
      <c r="E204" s="9"/>
      <c r="F204" s="9"/>
      <c r="G204" s="9"/>
      <c r="H204" s="9"/>
      <c r="I204" s="9"/>
      <c r="J204" s="98"/>
      <c r="K204" s="9"/>
      <c r="L204" s="9"/>
      <c r="M204" s="9"/>
      <c r="N204" s="9"/>
      <c r="O204" s="9"/>
      <c r="P204" s="9"/>
      <c r="Q204" s="78"/>
      <c r="R204" s="10"/>
      <c r="S204" s="10"/>
      <c r="T204" s="10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ht="21.75" customHeight="1" x14ac:dyDescent="0.55000000000000004">
      <c r="A205" s="6"/>
      <c r="B205" s="6"/>
      <c r="C205" s="9"/>
      <c r="D205" s="9"/>
      <c r="E205" s="9"/>
      <c r="F205" s="9"/>
      <c r="G205" s="9"/>
      <c r="H205" s="9"/>
      <c r="I205" s="9"/>
      <c r="J205" s="98"/>
      <c r="K205" s="9"/>
      <c r="L205" s="9"/>
      <c r="M205" s="9"/>
      <c r="N205" s="9"/>
      <c r="O205" s="9"/>
      <c r="P205" s="9"/>
      <c r="Q205" s="78"/>
      <c r="R205" s="10"/>
      <c r="S205" s="10"/>
      <c r="T205" s="10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ht="21.75" customHeight="1" x14ac:dyDescent="0.55000000000000004">
      <c r="A206" s="6"/>
      <c r="B206" s="6"/>
      <c r="C206" s="9"/>
      <c r="D206" s="9"/>
      <c r="E206" s="9"/>
      <c r="F206" s="9"/>
      <c r="G206" s="9"/>
      <c r="H206" s="9"/>
      <c r="I206" s="9"/>
      <c r="J206" s="98"/>
      <c r="K206" s="9"/>
      <c r="L206" s="9"/>
      <c r="M206" s="9"/>
      <c r="N206" s="9"/>
      <c r="O206" s="9"/>
      <c r="P206" s="9"/>
      <c r="Q206" s="78"/>
      <c r="R206" s="10"/>
      <c r="S206" s="10"/>
      <c r="T206" s="10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ht="21.75" customHeight="1" x14ac:dyDescent="0.55000000000000004">
      <c r="A207" s="6"/>
      <c r="B207" s="6"/>
      <c r="C207" s="9"/>
      <c r="D207" s="9"/>
      <c r="E207" s="9"/>
      <c r="F207" s="9"/>
      <c r="G207" s="9"/>
      <c r="H207" s="9"/>
      <c r="I207" s="9"/>
      <c r="J207" s="98"/>
      <c r="K207" s="9"/>
      <c r="L207" s="9"/>
      <c r="M207" s="9"/>
      <c r="N207" s="9"/>
      <c r="O207" s="9"/>
      <c r="P207" s="9"/>
      <c r="Q207" s="78"/>
      <c r="R207" s="10"/>
      <c r="S207" s="10"/>
      <c r="T207" s="10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ht="21.75" customHeight="1" x14ac:dyDescent="0.55000000000000004">
      <c r="A208" s="6"/>
      <c r="B208" s="6"/>
      <c r="C208" s="9"/>
      <c r="D208" s="9"/>
      <c r="E208" s="9"/>
      <c r="F208" s="9"/>
      <c r="G208" s="9"/>
      <c r="H208" s="9"/>
      <c r="I208" s="9"/>
      <c r="J208" s="98"/>
      <c r="K208" s="9"/>
      <c r="L208" s="9"/>
      <c r="M208" s="9"/>
      <c r="N208" s="9"/>
      <c r="O208" s="9"/>
      <c r="P208" s="9"/>
      <c r="Q208" s="78"/>
      <c r="R208" s="10"/>
      <c r="S208" s="10"/>
      <c r="T208" s="10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ht="21.75" customHeight="1" x14ac:dyDescent="0.55000000000000004">
      <c r="A209" s="6"/>
      <c r="B209" s="6"/>
      <c r="C209" s="9"/>
      <c r="D209" s="9"/>
      <c r="E209" s="9"/>
      <c r="F209" s="9"/>
      <c r="G209" s="9"/>
      <c r="H209" s="9"/>
      <c r="I209" s="9"/>
      <c r="J209" s="98"/>
      <c r="K209" s="9"/>
      <c r="L209" s="9"/>
      <c r="M209" s="9"/>
      <c r="N209" s="9"/>
      <c r="O209" s="9"/>
      <c r="P209" s="9"/>
      <c r="Q209" s="78"/>
      <c r="R209" s="10"/>
      <c r="S209" s="10"/>
      <c r="T209" s="10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ht="21.75" customHeight="1" x14ac:dyDescent="0.55000000000000004">
      <c r="A210" s="6"/>
      <c r="B210" s="6"/>
      <c r="C210" s="9"/>
      <c r="D210" s="9"/>
      <c r="E210" s="9"/>
      <c r="F210" s="9"/>
      <c r="G210" s="9"/>
      <c r="H210" s="9"/>
      <c r="I210" s="9"/>
      <c r="J210" s="98"/>
      <c r="K210" s="9"/>
      <c r="L210" s="9"/>
      <c r="M210" s="9"/>
      <c r="N210" s="9"/>
      <c r="O210" s="9"/>
      <c r="P210" s="9"/>
      <c r="Q210" s="78"/>
      <c r="R210" s="10"/>
      <c r="S210" s="10"/>
      <c r="T210" s="10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ht="21.75" customHeight="1" x14ac:dyDescent="0.55000000000000004">
      <c r="A211" s="6"/>
      <c r="B211" s="6"/>
      <c r="C211" s="9"/>
      <c r="D211" s="9"/>
      <c r="E211" s="9"/>
      <c r="F211" s="9"/>
      <c r="G211" s="9"/>
      <c r="H211" s="9"/>
      <c r="I211" s="9"/>
      <c r="J211" s="98"/>
      <c r="K211" s="9"/>
      <c r="L211" s="9"/>
      <c r="M211" s="9"/>
      <c r="N211" s="9"/>
      <c r="O211" s="9"/>
      <c r="P211" s="9"/>
      <c r="Q211" s="78"/>
      <c r="R211" s="10"/>
      <c r="S211" s="10"/>
      <c r="T211" s="10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ht="21.75" customHeight="1" x14ac:dyDescent="0.55000000000000004">
      <c r="A212" s="6"/>
      <c r="B212" s="6"/>
      <c r="C212" s="9"/>
      <c r="D212" s="9"/>
      <c r="E212" s="9"/>
      <c r="F212" s="9"/>
      <c r="G212" s="9"/>
      <c r="H212" s="9"/>
      <c r="I212" s="9"/>
      <c r="J212" s="98"/>
      <c r="K212" s="9"/>
      <c r="L212" s="9"/>
      <c r="M212" s="9"/>
      <c r="N212" s="9"/>
      <c r="O212" s="9"/>
      <c r="P212" s="9"/>
      <c r="Q212" s="78"/>
      <c r="R212" s="10"/>
      <c r="S212" s="10"/>
      <c r="T212" s="10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ht="21.75" customHeight="1" x14ac:dyDescent="0.55000000000000004">
      <c r="A213" s="6"/>
      <c r="B213" s="6"/>
      <c r="C213" s="9"/>
      <c r="D213" s="9"/>
      <c r="E213" s="9"/>
      <c r="F213" s="9"/>
      <c r="G213" s="9"/>
      <c r="H213" s="9"/>
      <c r="I213" s="9"/>
      <c r="J213" s="98"/>
      <c r="K213" s="9"/>
      <c r="L213" s="9"/>
      <c r="M213" s="9"/>
      <c r="N213" s="9"/>
      <c r="O213" s="9"/>
      <c r="P213" s="9"/>
      <c r="Q213" s="78"/>
      <c r="R213" s="10"/>
      <c r="S213" s="10"/>
      <c r="T213" s="10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ht="21.75" customHeight="1" x14ac:dyDescent="0.55000000000000004">
      <c r="A214" s="6"/>
      <c r="B214" s="6"/>
      <c r="C214" s="9"/>
      <c r="D214" s="9"/>
      <c r="E214" s="9"/>
      <c r="F214" s="9"/>
      <c r="G214" s="9"/>
      <c r="H214" s="9"/>
      <c r="I214" s="9"/>
      <c r="J214" s="98"/>
      <c r="K214" s="9"/>
      <c r="L214" s="9"/>
      <c r="M214" s="9"/>
      <c r="N214" s="9"/>
      <c r="O214" s="9"/>
      <c r="P214" s="9"/>
      <c r="Q214" s="78"/>
      <c r="R214" s="10"/>
      <c r="S214" s="10"/>
      <c r="T214" s="10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ht="21.75" customHeight="1" x14ac:dyDescent="0.55000000000000004">
      <c r="A215" s="6"/>
      <c r="B215" s="6"/>
      <c r="C215" s="9"/>
      <c r="D215" s="9"/>
      <c r="E215" s="9"/>
      <c r="F215" s="9"/>
      <c r="G215" s="9"/>
      <c r="H215" s="9"/>
      <c r="I215" s="9"/>
      <c r="J215" s="98"/>
      <c r="K215" s="9"/>
      <c r="L215" s="9"/>
      <c r="M215" s="9"/>
      <c r="N215" s="9"/>
      <c r="O215" s="9"/>
      <c r="P215" s="9"/>
      <c r="Q215" s="78"/>
      <c r="R215" s="10"/>
      <c r="S215" s="10"/>
      <c r="T215" s="10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ht="21.75" customHeight="1" x14ac:dyDescent="0.55000000000000004">
      <c r="A216" s="6"/>
      <c r="B216" s="6"/>
      <c r="C216" s="9"/>
      <c r="D216" s="9"/>
      <c r="E216" s="9"/>
      <c r="F216" s="9"/>
      <c r="G216" s="9"/>
      <c r="H216" s="9"/>
      <c r="I216" s="9"/>
      <c r="J216" s="98"/>
      <c r="K216" s="9"/>
      <c r="L216" s="9"/>
      <c r="M216" s="9"/>
      <c r="N216" s="9"/>
      <c r="O216" s="9"/>
      <c r="P216" s="9"/>
      <c r="Q216" s="78"/>
      <c r="R216" s="10"/>
      <c r="S216" s="10"/>
      <c r="T216" s="10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ht="21.75" customHeight="1" x14ac:dyDescent="0.55000000000000004">
      <c r="A217" s="6"/>
      <c r="B217" s="6"/>
      <c r="C217" s="9"/>
      <c r="D217" s="9"/>
      <c r="E217" s="9"/>
      <c r="F217" s="9"/>
      <c r="G217" s="9"/>
      <c r="H217" s="9"/>
      <c r="I217" s="9"/>
      <c r="J217" s="98"/>
      <c r="K217" s="9"/>
      <c r="L217" s="9"/>
      <c r="M217" s="9"/>
      <c r="N217" s="9"/>
      <c r="O217" s="9"/>
      <c r="P217" s="9"/>
      <c r="Q217" s="78"/>
      <c r="R217" s="10"/>
      <c r="S217" s="10"/>
      <c r="T217" s="10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ht="21.75" customHeight="1" x14ac:dyDescent="0.55000000000000004">
      <c r="A218" s="6"/>
      <c r="B218" s="6"/>
      <c r="C218" s="9"/>
      <c r="D218" s="9"/>
      <c r="E218" s="9"/>
      <c r="F218" s="9"/>
      <c r="G218" s="9"/>
      <c r="H218" s="9"/>
      <c r="I218" s="9"/>
      <c r="J218" s="98"/>
      <c r="K218" s="9"/>
      <c r="L218" s="9"/>
      <c r="M218" s="9"/>
      <c r="N218" s="9"/>
      <c r="O218" s="9"/>
      <c r="P218" s="9"/>
      <c r="Q218" s="78"/>
      <c r="R218" s="10"/>
      <c r="S218" s="10"/>
      <c r="T218" s="10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ht="21.75" customHeight="1" x14ac:dyDescent="0.55000000000000004">
      <c r="A219" s="6"/>
      <c r="B219" s="6"/>
      <c r="C219" s="9"/>
      <c r="D219" s="9"/>
      <c r="E219" s="9"/>
      <c r="F219" s="9"/>
      <c r="G219" s="9"/>
      <c r="H219" s="9"/>
      <c r="I219" s="9"/>
      <c r="J219" s="98"/>
      <c r="K219" s="9"/>
      <c r="L219" s="9"/>
      <c r="M219" s="9"/>
      <c r="N219" s="9"/>
      <c r="O219" s="9"/>
      <c r="P219" s="9"/>
      <c r="Q219" s="78"/>
      <c r="R219" s="10"/>
      <c r="S219" s="10"/>
      <c r="T219" s="10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ht="21.75" customHeight="1" x14ac:dyDescent="0.55000000000000004">
      <c r="A220" s="6"/>
      <c r="B220" s="6"/>
      <c r="C220" s="9"/>
      <c r="D220" s="9"/>
      <c r="E220" s="9"/>
      <c r="F220" s="9"/>
      <c r="G220" s="9"/>
      <c r="H220" s="9"/>
      <c r="I220" s="9"/>
      <c r="J220" s="98"/>
      <c r="K220" s="9"/>
      <c r="L220" s="9"/>
      <c r="M220" s="9"/>
      <c r="N220" s="9"/>
      <c r="O220" s="9"/>
      <c r="P220" s="9"/>
      <c r="Q220" s="78"/>
      <c r="R220" s="10"/>
      <c r="S220" s="10"/>
      <c r="T220" s="10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ht="21.75" customHeight="1" x14ac:dyDescent="0.55000000000000004">
      <c r="A221" s="6"/>
      <c r="B221" s="6"/>
      <c r="C221" s="9"/>
      <c r="D221" s="9"/>
      <c r="E221" s="9"/>
      <c r="F221" s="9"/>
      <c r="G221" s="9"/>
      <c r="H221" s="9"/>
      <c r="I221" s="9"/>
      <c r="J221" s="98"/>
      <c r="K221" s="9"/>
      <c r="L221" s="9"/>
      <c r="M221" s="9"/>
      <c r="N221" s="9"/>
      <c r="O221" s="9"/>
      <c r="P221" s="9"/>
      <c r="Q221" s="78"/>
      <c r="R221" s="10"/>
      <c r="S221" s="10"/>
      <c r="T221" s="10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ht="21.75" customHeight="1" x14ac:dyDescent="0.55000000000000004">
      <c r="A222" s="6"/>
      <c r="B222" s="6"/>
      <c r="C222" s="9"/>
      <c r="D222" s="9"/>
      <c r="E222" s="9"/>
      <c r="F222" s="9"/>
      <c r="G222" s="9"/>
      <c r="H222" s="9"/>
      <c r="I222" s="9"/>
      <c r="J222" s="98"/>
      <c r="K222" s="9"/>
      <c r="L222" s="9"/>
      <c r="M222" s="9"/>
      <c r="N222" s="9"/>
      <c r="O222" s="9"/>
      <c r="P222" s="9"/>
      <c r="Q222" s="78"/>
      <c r="R222" s="10"/>
      <c r="S222" s="10"/>
      <c r="T222" s="10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ht="21.75" customHeight="1" x14ac:dyDescent="0.55000000000000004">
      <c r="A223" s="6"/>
      <c r="B223" s="6"/>
      <c r="C223" s="9"/>
      <c r="D223" s="9"/>
      <c r="E223" s="9"/>
      <c r="F223" s="9"/>
      <c r="G223" s="9"/>
      <c r="H223" s="9"/>
      <c r="I223" s="9"/>
      <c r="J223" s="98"/>
      <c r="K223" s="9"/>
      <c r="L223" s="9"/>
      <c r="M223" s="9"/>
      <c r="N223" s="9"/>
      <c r="O223" s="9"/>
      <c r="P223" s="9"/>
      <c r="Q223" s="78"/>
      <c r="R223" s="10"/>
      <c r="S223" s="10"/>
      <c r="T223" s="10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ht="21.75" customHeight="1" x14ac:dyDescent="0.55000000000000004">
      <c r="A224" s="6"/>
      <c r="B224" s="6"/>
      <c r="C224" s="9"/>
      <c r="D224" s="9"/>
      <c r="E224" s="9"/>
      <c r="F224" s="9"/>
      <c r="G224" s="9"/>
      <c r="H224" s="9"/>
      <c r="I224" s="9"/>
      <c r="J224" s="98"/>
      <c r="K224" s="9"/>
      <c r="L224" s="9"/>
      <c r="M224" s="9"/>
      <c r="N224" s="9"/>
      <c r="O224" s="9"/>
      <c r="P224" s="9"/>
      <c r="Q224" s="78"/>
      <c r="R224" s="10"/>
      <c r="S224" s="10"/>
      <c r="T224" s="10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ht="21.75" customHeight="1" x14ac:dyDescent="0.55000000000000004">
      <c r="A225" s="6"/>
      <c r="B225" s="6"/>
      <c r="C225" s="9"/>
      <c r="D225" s="9"/>
      <c r="E225" s="9"/>
      <c r="F225" s="9"/>
      <c r="G225" s="9"/>
      <c r="H225" s="9"/>
      <c r="I225" s="9"/>
      <c r="J225" s="98"/>
      <c r="K225" s="9"/>
      <c r="L225" s="9"/>
      <c r="M225" s="9"/>
      <c r="N225" s="9"/>
      <c r="O225" s="9"/>
      <c r="P225" s="9"/>
      <c r="Q225" s="78"/>
      <c r="R225" s="10"/>
      <c r="S225" s="10"/>
      <c r="T225" s="10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ht="21.75" customHeight="1" x14ac:dyDescent="0.55000000000000004">
      <c r="A226" s="6"/>
      <c r="B226" s="6"/>
      <c r="C226" s="9"/>
      <c r="D226" s="9"/>
      <c r="E226" s="9"/>
      <c r="F226" s="9"/>
      <c r="G226" s="9"/>
      <c r="H226" s="9"/>
      <c r="I226" s="9"/>
      <c r="J226" s="98"/>
      <c r="K226" s="9"/>
      <c r="L226" s="9"/>
      <c r="M226" s="9"/>
      <c r="N226" s="9"/>
      <c r="O226" s="9"/>
      <c r="P226" s="9"/>
      <c r="Q226" s="78"/>
      <c r="R226" s="10"/>
      <c r="S226" s="10"/>
      <c r="T226" s="10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ht="21.75" customHeight="1" x14ac:dyDescent="0.55000000000000004">
      <c r="A227" s="6"/>
      <c r="B227" s="6"/>
      <c r="C227" s="9"/>
      <c r="D227" s="9"/>
      <c r="E227" s="9"/>
      <c r="F227" s="9"/>
      <c r="G227" s="9"/>
      <c r="H227" s="9"/>
      <c r="I227" s="9"/>
      <c r="J227" s="98"/>
      <c r="K227" s="9"/>
      <c r="L227" s="9"/>
      <c r="M227" s="9"/>
      <c r="N227" s="9"/>
      <c r="O227" s="9"/>
      <c r="P227" s="9"/>
      <c r="Q227" s="78"/>
      <c r="R227" s="10"/>
      <c r="S227" s="10"/>
      <c r="T227" s="10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ht="21.75" customHeight="1" x14ac:dyDescent="0.55000000000000004">
      <c r="A228" s="6"/>
      <c r="B228" s="6"/>
      <c r="C228" s="9"/>
      <c r="D228" s="9"/>
      <c r="E228" s="9"/>
      <c r="F228" s="9"/>
      <c r="G228" s="9"/>
      <c r="H228" s="9"/>
      <c r="I228" s="9"/>
      <c r="J228" s="98"/>
      <c r="K228" s="9"/>
      <c r="L228" s="9"/>
      <c r="M228" s="9"/>
      <c r="N228" s="9"/>
      <c r="O228" s="9"/>
      <c r="P228" s="9"/>
      <c r="Q228" s="78"/>
      <c r="R228" s="10"/>
      <c r="S228" s="10"/>
      <c r="T228" s="10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ht="21.75" customHeight="1" x14ac:dyDescent="0.55000000000000004">
      <c r="A229" s="6"/>
      <c r="B229" s="6"/>
      <c r="C229" s="9"/>
      <c r="D229" s="9"/>
      <c r="E229" s="9"/>
      <c r="F229" s="9"/>
      <c r="G229" s="9"/>
      <c r="H229" s="9"/>
      <c r="I229" s="9"/>
      <c r="J229" s="98"/>
      <c r="K229" s="9"/>
      <c r="L229" s="9"/>
      <c r="M229" s="9"/>
      <c r="N229" s="9"/>
      <c r="O229" s="9"/>
      <c r="P229" s="9"/>
      <c r="Q229" s="78"/>
      <c r="R229" s="10"/>
      <c r="S229" s="10"/>
      <c r="T229" s="10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ht="21.75" customHeight="1" x14ac:dyDescent="0.55000000000000004">
      <c r="A230" s="6"/>
      <c r="B230" s="6"/>
      <c r="C230" s="9"/>
      <c r="D230" s="9"/>
      <c r="E230" s="9"/>
      <c r="F230" s="9"/>
      <c r="G230" s="9"/>
      <c r="H230" s="9"/>
      <c r="I230" s="9"/>
      <c r="J230" s="98"/>
      <c r="K230" s="9"/>
      <c r="L230" s="9"/>
      <c r="M230" s="9"/>
      <c r="N230" s="9"/>
      <c r="O230" s="9"/>
      <c r="P230" s="9"/>
      <c r="Q230" s="78"/>
      <c r="R230" s="10"/>
      <c r="S230" s="10"/>
      <c r="T230" s="10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ht="21.75" customHeight="1" x14ac:dyDescent="0.55000000000000004">
      <c r="A231" s="6"/>
      <c r="B231" s="6"/>
      <c r="C231" s="9"/>
      <c r="D231" s="9"/>
      <c r="E231" s="9"/>
      <c r="F231" s="9"/>
      <c r="G231" s="9"/>
      <c r="H231" s="9"/>
      <c r="I231" s="9"/>
      <c r="J231" s="98"/>
      <c r="K231" s="9"/>
      <c r="L231" s="9"/>
      <c r="M231" s="9"/>
      <c r="N231" s="9"/>
      <c r="O231" s="9"/>
      <c r="P231" s="9"/>
      <c r="Q231" s="78"/>
      <c r="R231" s="10"/>
      <c r="S231" s="10"/>
      <c r="T231" s="10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ht="21.75" customHeight="1" x14ac:dyDescent="0.55000000000000004">
      <c r="A232" s="6"/>
      <c r="B232" s="6"/>
      <c r="C232" s="9"/>
      <c r="D232" s="9"/>
      <c r="E232" s="9"/>
      <c r="F232" s="9"/>
      <c r="G232" s="9"/>
      <c r="H232" s="9"/>
      <c r="I232" s="9"/>
      <c r="J232" s="98"/>
      <c r="K232" s="9"/>
      <c r="L232" s="9"/>
      <c r="M232" s="9"/>
      <c r="N232" s="9"/>
      <c r="O232" s="9"/>
      <c r="P232" s="9"/>
      <c r="Q232" s="78"/>
      <c r="R232" s="10"/>
      <c r="S232" s="10"/>
      <c r="T232" s="10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ht="21.75" customHeight="1" x14ac:dyDescent="0.55000000000000004">
      <c r="A233" s="6"/>
      <c r="B233" s="6"/>
      <c r="C233" s="9"/>
      <c r="D233" s="9"/>
      <c r="E233" s="9"/>
      <c r="F233" s="9"/>
      <c r="G233" s="9"/>
      <c r="H233" s="9"/>
      <c r="I233" s="9"/>
      <c r="J233" s="98"/>
      <c r="K233" s="9"/>
      <c r="L233" s="9"/>
      <c r="M233" s="9"/>
      <c r="N233" s="9"/>
      <c r="O233" s="9"/>
      <c r="P233" s="9"/>
      <c r="Q233" s="78"/>
      <c r="R233" s="10"/>
      <c r="S233" s="10"/>
      <c r="T233" s="10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ht="21.75" customHeight="1" x14ac:dyDescent="0.55000000000000004">
      <c r="A234" s="6"/>
      <c r="B234" s="6"/>
      <c r="C234" s="9"/>
      <c r="D234" s="9"/>
      <c r="E234" s="9"/>
      <c r="F234" s="9"/>
      <c r="G234" s="9"/>
      <c r="H234" s="9"/>
      <c r="I234" s="9"/>
      <c r="J234" s="98"/>
      <c r="K234" s="9"/>
      <c r="L234" s="9"/>
      <c r="M234" s="9"/>
      <c r="N234" s="9"/>
      <c r="O234" s="9"/>
      <c r="P234" s="9"/>
      <c r="Q234" s="78"/>
      <c r="R234" s="10"/>
      <c r="S234" s="10"/>
      <c r="T234" s="10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ht="21.75" customHeight="1" x14ac:dyDescent="0.55000000000000004">
      <c r="A235" s="6"/>
      <c r="B235" s="6"/>
      <c r="C235" s="9"/>
      <c r="D235" s="9"/>
      <c r="E235" s="9"/>
      <c r="F235" s="9"/>
      <c r="G235" s="9"/>
      <c r="H235" s="9"/>
      <c r="I235" s="9"/>
      <c r="J235" s="98"/>
      <c r="K235" s="9"/>
      <c r="L235" s="9"/>
      <c r="M235" s="9"/>
      <c r="N235" s="9"/>
      <c r="O235" s="9"/>
      <c r="P235" s="9"/>
      <c r="Q235" s="78"/>
      <c r="R235" s="10"/>
      <c r="S235" s="10"/>
      <c r="T235" s="10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ht="21.75" customHeight="1" x14ac:dyDescent="0.55000000000000004">
      <c r="A236" s="6"/>
      <c r="B236" s="6"/>
      <c r="C236" s="9"/>
      <c r="D236" s="9"/>
      <c r="E236" s="9"/>
      <c r="F236" s="9"/>
      <c r="G236" s="9"/>
      <c r="H236" s="9"/>
      <c r="I236" s="9"/>
      <c r="J236" s="98"/>
      <c r="K236" s="9"/>
      <c r="L236" s="9"/>
      <c r="M236" s="9"/>
      <c r="N236" s="9"/>
      <c r="O236" s="9"/>
      <c r="P236" s="9"/>
      <c r="Q236" s="78"/>
      <c r="R236" s="10"/>
      <c r="S236" s="10"/>
      <c r="T236" s="10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ht="21.75" customHeight="1" x14ac:dyDescent="0.55000000000000004">
      <c r="A237" s="6"/>
      <c r="B237" s="6"/>
      <c r="C237" s="9"/>
      <c r="D237" s="9"/>
      <c r="E237" s="9"/>
      <c r="F237" s="9"/>
      <c r="G237" s="9"/>
      <c r="H237" s="9"/>
      <c r="I237" s="9"/>
      <c r="J237" s="98"/>
      <c r="K237" s="9"/>
      <c r="L237" s="9"/>
      <c r="M237" s="9"/>
      <c r="N237" s="9"/>
      <c r="O237" s="9"/>
      <c r="P237" s="9"/>
      <c r="Q237" s="78"/>
      <c r="R237" s="10"/>
      <c r="S237" s="10"/>
      <c r="T237" s="10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ht="21.75" customHeight="1" x14ac:dyDescent="0.55000000000000004">
      <c r="A238" s="6"/>
      <c r="B238" s="6"/>
      <c r="C238" s="9"/>
      <c r="D238" s="9"/>
      <c r="E238" s="9"/>
      <c r="F238" s="9"/>
      <c r="G238" s="9"/>
      <c r="H238" s="9"/>
      <c r="I238" s="9"/>
      <c r="J238" s="98"/>
      <c r="K238" s="9"/>
      <c r="L238" s="9"/>
      <c r="M238" s="9"/>
      <c r="N238" s="9"/>
      <c r="O238" s="9"/>
      <c r="P238" s="9"/>
      <c r="Q238" s="78"/>
      <c r="R238" s="10"/>
      <c r="S238" s="10"/>
      <c r="T238" s="10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ht="21.75" customHeight="1" x14ac:dyDescent="0.55000000000000004">
      <c r="A239" s="6"/>
      <c r="B239" s="6"/>
      <c r="C239" s="9"/>
      <c r="D239" s="9"/>
      <c r="E239" s="9"/>
      <c r="F239" s="9"/>
      <c r="G239" s="9"/>
      <c r="H239" s="9"/>
      <c r="I239" s="9"/>
      <c r="J239" s="98"/>
      <c r="K239" s="9"/>
      <c r="L239" s="9"/>
      <c r="M239" s="9"/>
      <c r="N239" s="9"/>
      <c r="O239" s="9"/>
      <c r="P239" s="9"/>
      <c r="Q239" s="78"/>
      <c r="R239" s="10"/>
      <c r="S239" s="10"/>
      <c r="T239" s="10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ht="21.75" customHeight="1" x14ac:dyDescent="0.55000000000000004">
      <c r="A240" s="6"/>
      <c r="B240" s="6"/>
      <c r="C240" s="9"/>
      <c r="D240" s="9"/>
      <c r="E240" s="9"/>
      <c r="F240" s="9"/>
      <c r="G240" s="9"/>
      <c r="H240" s="9"/>
      <c r="I240" s="9"/>
      <c r="J240" s="98"/>
      <c r="K240" s="9"/>
      <c r="L240" s="9"/>
      <c r="M240" s="9"/>
      <c r="N240" s="9"/>
      <c r="O240" s="9"/>
      <c r="P240" s="9"/>
      <c r="Q240" s="78"/>
      <c r="R240" s="10"/>
      <c r="S240" s="10"/>
      <c r="T240" s="10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ht="21.75" customHeight="1" x14ac:dyDescent="0.55000000000000004">
      <c r="A241" s="6"/>
      <c r="B241" s="6"/>
      <c r="C241" s="9"/>
      <c r="D241" s="9"/>
      <c r="E241" s="9"/>
      <c r="F241" s="9"/>
      <c r="G241" s="9"/>
      <c r="H241" s="9"/>
      <c r="I241" s="9"/>
      <c r="J241" s="98"/>
      <c r="K241" s="9"/>
      <c r="L241" s="9"/>
      <c r="M241" s="9"/>
      <c r="N241" s="9"/>
      <c r="O241" s="9"/>
      <c r="P241" s="9"/>
      <c r="Q241" s="78"/>
      <c r="R241" s="10"/>
      <c r="S241" s="10"/>
      <c r="T241" s="10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ht="21.75" customHeight="1" x14ac:dyDescent="0.55000000000000004">
      <c r="A242" s="6"/>
      <c r="B242" s="6"/>
      <c r="C242" s="9"/>
      <c r="D242" s="9"/>
      <c r="E242" s="9"/>
      <c r="F242" s="9"/>
      <c r="G242" s="9"/>
      <c r="H242" s="9"/>
      <c r="I242" s="9"/>
      <c r="J242" s="98"/>
      <c r="K242" s="9"/>
      <c r="L242" s="9"/>
      <c r="M242" s="9"/>
      <c r="N242" s="9"/>
      <c r="O242" s="9"/>
      <c r="P242" s="9"/>
      <c r="Q242" s="78"/>
      <c r="R242" s="10"/>
      <c r="S242" s="10"/>
      <c r="T242" s="10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ht="21.75" customHeight="1" x14ac:dyDescent="0.55000000000000004">
      <c r="A243" s="6"/>
      <c r="B243" s="6"/>
      <c r="C243" s="9"/>
      <c r="D243" s="9"/>
      <c r="E243" s="9"/>
      <c r="F243" s="9"/>
      <c r="G243" s="9"/>
      <c r="H243" s="9"/>
      <c r="I243" s="9"/>
      <c r="J243" s="98"/>
      <c r="K243" s="9"/>
      <c r="L243" s="9"/>
      <c r="M243" s="9"/>
      <c r="N243" s="9"/>
      <c r="O243" s="9"/>
      <c r="P243" s="9"/>
      <c r="Q243" s="78"/>
      <c r="R243" s="10"/>
      <c r="S243" s="10"/>
      <c r="T243" s="10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ht="21.75" customHeight="1" x14ac:dyDescent="0.55000000000000004">
      <c r="A244" s="6"/>
      <c r="B244" s="6"/>
      <c r="C244" s="9"/>
      <c r="D244" s="9"/>
      <c r="E244" s="9"/>
      <c r="F244" s="9"/>
      <c r="G244" s="9"/>
      <c r="H244" s="9"/>
      <c r="I244" s="9"/>
      <c r="J244" s="98"/>
      <c r="K244" s="9"/>
      <c r="L244" s="9"/>
      <c r="M244" s="9"/>
      <c r="N244" s="9"/>
      <c r="O244" s="9"/>
      <c r="P244" s="9"/>
      <c r="Q244" s="78"/>
      <c r="R244" s="10"/>
      <c r="S244" s="10"/>
      <c r="T244" s="10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ht="21.75" customHeight="1" x14ac:dyDescent="0.55000000000000004">
      <c r="A245" s="6"/>
      <c r="B245" s="6"/>
      <c r="C245" s="9"/>
      <c r="D245" s="9"/>
      <c r="E245" s="9"/>
      <c r="F245" s="9"/>
      <c r="G245" s="9"/>
      <c r="H245" s="9"/>
      <c r="I245" s="9"/>
      <c r="J245" s="98"/>
      <c r="K245" s="9"/>
      <c r="L245" s="9"/>
      <c r="M245" s="9"/>
      <c r="N245" s="9"/>
      <c r="O245" s="9"/>
      <c r="P245" s="9"/>
      <c r="Q245" s="78"/>
      <c r="R245" s="10"/>
      <c r="S245" s="10"/>
      <c r="T245" s="10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ht="21.75" customHeight="1" x14ac:dyDescent="0.55000000000000004">
      <c r="A246" s="6"/>
      <c r="B246" s="6"/>
      <c r="C246" s="9"/>
      <c r="D246" s="9"/>
      <c r="E246" s="9"/>
      <c r="F246" s="9"/>
      <c r="G246" s="9"/>
      <c r="H246" s="9"/>
      <c r="I246" s="9"/>
      <c r="J246" s="98"/>
      <c r="K246" s="9"/>
      <c r="L246" s="9"/>
      <c r="M246" s="9"/>
      <c r="N246" s="9"/>
      <c r="O246" s="9"/>
      <c r="P246" s="9"/>
      <c r="Q246" s="78"/>
      <c r="R246" s="10"/>
      <c r="S246" s="10"/>
      <c r="T246" s="10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ht="21.75" customHeight="1" x14ac:dyDescent="0.55000000000000004">
      <c r="A247" s="6"/>
      <c r="B247" s="6"/>
      <c r="C247" s="9"/>
      <c r="D247" s="9"/>
      <c r="E247" s="9"/>
      <c r="F247" s="9"/>
      <c r="G247" s="9"/>
      <c r="H247" s="9"/>
      <c r="I247" s="9"/>
      <c r="J247" s="98"/>
      <c r="K247" s="9"/>
      <c r="L247" s="9"/>
      <c r="M247" s="9"/>
      <c r="N247" s="9"/>
      <c r="O247" s="9"/>
      <c r="P247" s="9"/>
      <c r="Q247" s="78"/>
      <c r="R247" s="10"/>
      <c r="S247" s="10"/>
      <c r="T247" s="10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ht="21.75" customHeight="1" x14ac:dyDescent="0.55000000000000004">
      <c r="A248" s="6"/>
      <c r="B248" s="6"/>
      <c r="C248" s="9"/>
      <c r="D248" s="9"/>
      <c r="E248" s="9"/>
      <c r="F248" s="9"/>
      <c r="G248" s="9"/>
      <c r="H248" s="9"/>
      <c r="I248" s="9"/>
      <c r="J248" s="98"/>
      <c r="K248" s="9"/>
      <c r="L248" s="9"/>
      <c r="M248" s="9"/>
      <c r="N248" s="9"/>
      <c r="O248" s="9"/>
      <c r="P248" s="9"/>
      <c r="Q248" s="78"/>
      <c r="R248" s="10"/>
      <c r="S248" s="10"/>
      <c r="T248" s="10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ht="21.75" customHeight="1" x14ac:dyDescent="0.55000000000000004">
      <c r="A249" s="6"/>
      <c r="B249" s="6"/>
      <c r="C249" s="9"/>
      <c r="D249" s="9"/>
      <c r="E249" s="9"/>
      <c r="F249" s="9"/>
      <c r="G249" s="9"/>
      <c r="H249" s="9"/>
      <c r="I249" s="9"/>
      <c r="J249" s="98"/>
      <c r="K249" s="9"/>
      <c r="L249" s="9"/>
      <c r="M249" s="9"/>
      <c r="N249" s="9"/>
      <c r="O249" s="9"/>
      <c r="P249" s="9"/>
      <c r="Q249" s="78"/>
      <c r="R249" s="10"/>
      <c r="S249" s="10"/>
      <c r="T249" s="10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ht="21.75" customHeight="1" x14ac:dyDescent="0.55000000000000004">
      <c r="A250" s="6"/>
      <c r="B250" s="6"/>
      <c r="C250" s="9"/>
      <c r="D250" s="9"/>
      <c r="E250" s="9"/>
      <c r="F250" s="9"/>
      <c r="G250" s="9"/>
      <c r="H250" s="9"/>
      <c r="I250" s="9"/>
      <c r="J250" s="98"/>
      <c r="K250" s="9"/>
      <c r="L250" s="9"/>
      <c r="M250" s="9"/>
      <c r="N250" s="9"/>
      <c r="O250" s="9"/>
      <c r="P250" s="9"/>
      <c r="Q250" s="78"/>
      <c r="R250" s="10"/>
      <c r="S250" s="10"/>
      <c r="T250" s="10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ht="21.75" customHeight="1" x14ac:dyDescent="0.55000000000000004">
      <c r="A251" s="6"/>
      <c r="B251" s="6"/>
      <c r="C251" s="9"/>
      <c r="D251" s="9"/>
      <c r="E251" s="9"/>
      <c r="F251" s="9"/>
      <c r="G251" s="9"/>
      <c r="H251" s="9"/>
      <c r="I251" s="9"/>
      <c r="J251" s="98"/>
      <c r="K251" s="9"/>
      <c r="L251" s="9"/>
      <c r="M251" s="9"/>
      <c r="N251" s="9"/>
      <c r="O251" s="9"/>
      <c r="P251" s="9"/>
      <c r="Q251" s="78"/>
      <c r="R251" s="10"/>
      <c r="S251" s="10"/>
      <c r="T251" s="10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ht="21.75" customHeight="1" x14ac:dyDescent="0.55000000000000004">
      <c r="A252" s="6"/>
      <c r="B252" s="6"/>
      <c r="C252" s="9"/>
      <c r="D252" s="9"/>
      <c r="E252" s="9"/>
      <c r="F252" s="9"/>
      <c r="G252" s="9"/>
      <c r="H252" s="9"/>
      <c r="I252" s="9"/>
      <c r="J252" s="98"/>
      <c r="K252" s="9"/>
      <c r="L252" s="9"/>
      <c r="M252" s="9"/>
      <c r="N252" s="9"/>
      <c r="O252" s="9"/>
      <c r="P252" s="9"/>
      <c r="Q252" s="78"/>
      <c r="R252" s="10"/>
      <c r="S252" s="10"/>
      <c r="T252" s="10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ht="21.75" customHeight="1" x14ac:dyDescent="0.55000000000000004">
      <c r="A253" s="6"/>
      <c r="B253" s="6"/>
      <c r="C253" s="9"/>
      <c r="D253" s="9"/>
      <c r="E253" s="9"/>
      <c r="F253" s="9"/>
      <c r="G253" s="9"/>
      <c r="H253" s="9"/>
      <c r="I253" s="9"/>
      <c r="J253" s="98"/>
      <c r="K253" s="9"/>
      <c r="L253" s="9"/>
      <c r="M253" s="9"/>
      <c r="N253" s="9"/>
      <c r="O253" s="9"/>
      <c r="P253" s="9"/>
      <c r="Q253" s="78"/>
      <c r="R253" s="10"/>
      <c r="S253" s="10"/>
      <c r="T253" s="10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ht="21.75" customHeight="1" x14ac:dyDescent="0.55000000000000004">
      <c r="A254" s="6"/>
      <c r="B254" s="6"/>
      <c r="C254" s="9"/>
      <c r="D254" s="9"/>
      <c r="E254" s="9"/>
      <c r="F254" s="9"/>
      <c r="G254" s="9"/>
      <c r="H254" s="9"/>
      <c r="I254" s="9"/>
      <c r="J254" s="98"/>
      <c r="K254" s="9"/>
      <c r="L254" s="9"/>
      <c r="M254" s="9"/>
      <c r="N254" s="9"/>
      <c r="O254" s="9"/>
      <c r="P254" s="9"/>
      <c r="Q254" s="78"/>
      <c r="R254" s="10"/>
      <c r="S254" s="10"/>
      <c r="T254" s="10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ht="21.75" customHeight="1" x14ac:dyDescent="0.55000000000000004">
      <c r="A255" s="6"/>
      <c r="B255" s="6"/>
      <c r="C255" s="9"/>
      <c r="D255" s="9"/>
      <c r="E255" s="9"/>
      <c r="F255" s="9"/>
      <c r="G255" s="9"/>
      <c r="H255" s="9"/>
      <c r="I255" s="9"/>
      <c r="J255" s="98"/>
      <c r="K255" s="9"/>
      <c r="L255" s="9"/>
      <c r="M255" s="9"/>
      <c r="N255" s="9"/>
      <c r="O255" s="9"/>
      <c r="P255" s="9"/>
      <c r="Q255" s="78"/>
      <c r="R255" s="10"/>
      <c r="S255" s="10"/>
      <c r="T255" s="10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ht="21.75" customHeight="1" x14ac:dyDescent="0.55000000000000004">
      <c r="A256" s="6"/>
      <c r="B256" s="6"/>
      <c r="C256" s="9"/>
      <c r="D256" s="9"/>
      <c r="E256" s="9"/>
      <c r="F256" s="9"/>
      <c r="G256" s="9"/>
      <c r="H256" s="9"/>
      <c r="I256" s="9"/>
      <c r="J256" s="98"/>
      <c r="K256" s="9"/>
      <c r="L256" s="9"/>
      <c r="M256" s="9"/>
      <c r="N256" s="9"/>
      <c r="O256" s="9"/>
      <c r="P256" s="9"/>
      <c r="Q256" s="78"/>
      <c r="R256" s="10"/>
      <c r="S256" s="10"/>
      <c r="T256" s="10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ht="21.75" customHeight="1" x14ac:dyDescent="0.55000000000000004">
      <c r="A257" s="6"/>
      <c r="B257" s="6"/>
      <c r="C257" s="9"/>
      <c r="D257" s="9"/>
      <c r="E257" s="9"/>
      <c r="F257" s="9"/>
      <c r="G257" s="9"/>
      <c r="H257" s="9"/>
      <c r="I257" s="9"/>
      <c r="J257" s="98"/>
      <c r="K257" s="9"/>
      <c r="L257" s="9"/>
      <c r="M257" s="9"/>
      <c r="N257" s="9"/>
      <c r="O257" s="9"/>
      <c r="P257" s="9"/>
      <c r="Q257" s="78"/>
      <c r="R257" s="10"/>
      <c r="S257" s="10"/>
      <c r="T257" s="10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ht="21.75" customHeight="1" x14ac:dyDescent="0.55000000000000004">
      <c r="A258" s="6"/>
      <c r="B258" s="6"/>
      <c r="C258" s="9"/>
      <c r="D258" s="9"/>
      <c r="E258" s="9"/>
      <c r="F258" s="9"/>
      <c r="G258" s="9"/>
      <c r="H258" s="9"/>
      <c r="I258" s="9"/>
      <c r="J258" s="98"/>
      <c r="K258" s="9"/>
      <c r="L258" s="9"/>
      <c r="M258" s="9"/>
      <c r="N258" s="9"/>
      <c r="O258" s="9"/>
      <c r="P258" s="9"/>
      <c r="Q258" s="78"/>
      <c r="R258" s="10"/>
      <c r="S258" s="10"/>
      <c r="T258" s="10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ht="21.75" customHeight="1" x14ac:dyDescent="0.55000000000000004">
      <c r="A259" s="6"/>
      <c r="B259" s="6"/>
      <c r="C259" s="9"/>
      <c r="D259" s="9"/>
      <c r="E259" s="9"/>
      <c r="F259" s="9"/>
      <c r="G259" s="9"/>
      <c r="H259" s="9"/>
      <c r="I259" s="9"/>
      <c r="J259" s="98"/>
      <c r="K259" s="9"/>
      <c r="L259" s="9"/>
      <c r="M259" s="9"/>
      <c r="N259" s="9"/>
      <c r="O259" s="9"/>
      <c r="P259" s="9"/>
      <c r="Q259" s="78"/>
      <c r="R259" s="10"/>
      <c r="S259" s="10"/>
      <c r="T259" s="10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ht="21.75" customHeight="1" x14ac:dyDescent="0.55000000000000004">
      <c r="A260" s="6"/>
      <c r="B260" s="6"/>
      <c r="C260" s="9"/>
      <c r="D260" s="9"/>
      <c r="E260" s="9"/>
      <c r="F260" s="9"/>
      <c r="G260" s="9"/>
      <c r="H260" s="9"/>
      <c r="I260" s="9"/>
      <c r="J260" s="98"/>
      <c r="K260" s="9"/>
      <c r="L260" s="9"/>
      <c r="M260" s="9"/>
      <c r="N260" s="9"/>
      <c r="O260" s="9"/>
      <c r="P260" s="9"/>
      <c r="Q260" s="78"/>
      <c r="R260" s="10"/>
      <c r="S260" s="10"/>
      <c r="T260" s="10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ht="21.75" customHeight="1" x14ac:dyDescent="0.55000000000000004">
      <c r="A261" s="6"/>
      <c r="B261" s="6"/>
      <c r="C261" s="9"/>
      <c r="D261" s="9"/>
      <c r="E261" s="9"/>
      <c r="F261" s="9"/>
      <c r="G261" s="9"/>
      <c r="H261" s="9"/>
      <c r="I261" s="9"/>
      <c r="J261" s="98"/>
      <c r="K261" s="9"/>
      <c r="L261" s="9"/>
      <c r="M261" s="9"/>
      <c r="N261" s="9"/>
      <c r="O261" s="9"/>
      <c r="P261" s="9"/>
      <c r="Q261" s="78"/>
      <c r="R261" s="10"/>
      <c r="S261" s="10"/>
      <c r="T261" s="10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ht="21.75" customHeight="1" x14ac:dyDescent="0.55000000000000004">
      <c r="A262" s="6"/>
      <c r="B262" s="6"/>
      <c r="C262" s="9"/>
      <c r="D262" s="9"/>
      <c r="E262" s="9"/>
      <c r="F262" s="9"/>
      <c r="G262" s="9"/>
      <c r="H262" s="9"/>
      <c r="I262" s="9"/>
      <c r="J262" s="98"/>
      <c r="K262" s="9"/>
      <c r="L262" s="9"/>
      <c r="M262" s="9"/>
      <c r="N262" s="9"/>
      <c r="O262" s="9"/>
      <c r="P262" s="9"/>
      <c r="Q262" s="78"/>
      <c r="R262" s="10"/>
      <c r="S262" s="10"/>
      <c r="T262" s="10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ht="21.75" customHeight="1" x14ac:dyDescent="0.55000000000000004">
      <c r="A263" s="6"/>
      <c r="B263" s="6"/>
      <c r="C263" s="9"/>
      <c r="D263" s="9"/>
      <c r="E263" s="9"/>
      <c r="F263" s="9"/>
      <c r="G263" s="9"/>
      <c r="H263" s="9"/>
      <c r="I263" s="9"/>
      <c r="J263" s="98"/>
      <c r="K263" s="9"/>
      <c r="L263" s="9"/>
      <c r="M263" s="9"/>
      <c r="N263" s="9"/>
      <c r="O263" s="9"/>
      <c r="P263" s="9"/>
      <c r="Q263" s="78"/>
      <c r="R263" s="10"/>
      <c r="S263" s="10"/>
      <c r="T263" s="10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ht="21.75" customHeight="1" x14ac:dyDescent="0.55000000000000004">
      <c r="A264" s="6"/>
      <c r="B264" s="6"/>
      <c r="C264" s="9"/>
      <c r="D264" s="9"/>
      <c r="E264" s="9"/>
      <c r="F264" s="9"/>
      <c r="G264" s="9"/>
      <c r="H264" s="9"/>
      <c r="I264" s="9"/>
      <c r="J264" s="98"/>
      <c r="K264" s="9"/>
      <c r="L264" s="9"/>
      <c r="M264" s="9"/>
      <c r="N264" s="9"/>
      <c r="O264" s="9"/>
      <c r="P264" s="9"/>
      <c r="Q264" s="78"/>
      <c r="R264" s="10"/>
      <c r="S264" s="10"/>
      <c r="T264" s="10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ht="21.75" customHeight="1" x14ac:dyDescent="0.55000000000000004">
      <c r="A265" s="6"/>
      <c r="B265" s="6"/>
      <c r="C265" s="9"/>
      <c r="D265" s="9"/>
      <c r="E265" s="9"/>
      <c r="F265" s="9"/>
      <c r="G265" s="9"/>
      <c r="H265" s="9"/>
      <c r="I265" s="9"/>
      <c r="J265" s="98"/>
      <c r="K265" s="9"/>
      <c r="L265" s="9"/>
      <c r="M265" s="9"/>
      <c r="N265" s="9"/>
      <c r="O265" s="9"/>
      <c r="P265" s="9"/>
      <c r="Q265" s="78"/>
      <c r="R265" s="10"/>
      <c r="S265" s="10"/>
      <c r="T265" s="10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ht="21.75" customHeight="1" x14ac:dyDescent="0.55000000000000004">
      <c r="A266" s="6"/>
      <c r="B266" s="6"/>
      <c r="C266" s="9"/>
      <c r="D266" s="9"/>
      <c r="E266" s="9"/>
      <c r="F266" s="9"/>
      <c r="G266" s="9"/>
      <c r="H266" s="9"/>
      <c r="I266" s="9"/>
      <c r="J266" s="98"/>
      <c r="K266" s="9"/>
      <c r="L266" s="9"/>
      <c r="M266" s="9"/>
      <c r="N266" s="9"/>
      <c r="O266" s="9"/>
      <c r="P266" s="9"/>
      <c r="Q266" s="78"/>
      <c r="R266" s="10"/>
      <c r="S266" s="10"/>
      <c r="T266" s="10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ht="21.75" customHeight="1" x14ac:dyDescent="0.55000000000000004">
      <c r="A267" s="6"/>
      <c r="B267" s="6"/>
      <c r="C267" s="9"/>
      <c r="D267" s="9"/>
      <c r="E267" s="9"/>
      <c r="F267" s="9"/>
      <c r="G267" s="9"/>
      <c r="H267" s="9"/>
      <c r="I267" s="9"/>
      <c r="J267" s="98"/>
      <c r="K267" s="9"/>
      <c r="L267" s="9"/>
      <c r="M267" s="9"/>
      <c r="N267" s="9"/>
      <c r="O267" s="9"/>
      <c r="P267" s="9"/>
      <c r="Q267" s="78"/>
      <c r="R267" s="10"/>
      <c r="S267" s="10"/>
      <c r="T267" s="10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ht="21.75" customHeight="1" x14ac:dyDescent="0.55000000000000004">
      <c r="A268" s="6"/>
      <c r="B268" s="6"/>
      <c r="C268" s="9"/>
      <c r="D268" s="9"/>
      <c r="E268" s="9"/>
      <c r="F268" s="9"/>
      <c r="G268" s="9"/>
      <c r="H268" s="9"/>
      <c r="I268" s="9"/>
      <c r="J268" s="98"/>
      <c r="K268" s="9"/>
      <c r="L268" s="9"/>
      <c r="M268" s="9"/>
      <c r="N268" s="9"/>
      <c r="O268" s="9"/>
      <c r="P268" s="9"/>
      <c r="Q268" s="78"/>
      <c r="R268" s="10"/>
      <c r="S268" s="10"/>
      <c r="T268" s="10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ht="21.75" customHeight="1" x14ac:dyDescent="0.55000000000000004">
      <c r="A269" s="6"/>
      <c r="B269" s="6"/>
      <c r="C269" s="9"/>
      <c r="D269" s="9"/>
      <c r="E269" s="9"/>
      <c r="F269" s="9"/>
      <c r="G269" s="9"/>
      <c r="H269" s="9"/>
      <c r="I269" s="9"/>
      <c r="J269" s="98"/>
      <c r="K269" s="9"/>
      <c r="L269" s="9"/>
      <c r="M269" s="9"/>
      <c r="N269" s="9"/>
      <c r="O269" s="9"/>
      <c r="P269" s="9"/>
      <c r="Q269" s="78"/>
      <c r="R269" s="10"/>
      <c r="S269" s="10"/>
      <c r="T269" s="10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ht="21.75" customHeight="1" x14ac:dyDescent="0.55000000000000004">
      <c r="A270" s="6"/>
      <c r="B270" s="6"/>
      <c r="C270" s="9"/>
      <c r="D270" s="9"/>
      <c r="E270" s="9"/>
      <c r="F270" s="9"/>
      <c r="G270" s="9"/>
      <c r="H270" s="9"/>
      <c r="I270" s="9"/>
      <c r="J270" s="98"/>
      <c r="K270" s="9"/>
      <c r="L270" s="9"/>
      <c r="M270" s="9"/>
      <c r="N270" s="9"/>
      <c r="O270" s="9"/>
      <c r="P270" s="9"/>
      <c r="Q270" s="78"/>
      <c r="R270" s="10"/>
      <c r="S270" s="10"/>
      <c r="T270" s="10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ht="21.75" customHeight="1" x14ac:dyDescent="0.55000000000000004">
      <c r="A271" s="6"/>
      <c r="B271" s="6"/>
      <c r="C271" s="9"/>
      <c r="D271" s="9"/>
      <c r="E271" s="9"/>
      <c r="F271" s="9"/>
      <c r="G271" s="9"/>
      <c r="H271" s="9"/>
      <c r="I271" s="9"/>
      <c r="J271" s="98"/>
      <c r="K271" s="9"/>
      <c r="L271" s="9"/>
      <c r="M271" s="9"/>
      <c r="N271" s="9"/>
      <c r="O271" s="9"/>
      <c r="P271" s="9"/>
      <c r="Q271" s="78"/>
      <c r="R271" s="10"/>
      <c r="S271" s="10"/>
      <c r="T271" s="10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ht="21.75" customHeight="1" x14ac:dyDescent="0.55000000000000004">
      <c r="A272" s="6"/>
      <c r="B272" s="6"/>
      <c r="C272" s="9"/>
      <c r="D272" s="9"/>
      <c r="E272" s="9"/>
      <c r="F272" s="9"/>
      <c r="G272" s="9"/>
      <c r="H272" s="9"/>
      <c r="I272" s="9"/>
      <c r="J272" s="98"/>
      <c r="K272" s="9"/>
      <c r="L272" s="9"/>
      <c r="M272" s="9"/>
      <c r="N272" s="9"/>
      <c r="O272" s="9"/>
      <c r="P272" s="9"/>
      <c r="Q272" s="78"/>
      <c r="R272" s="10"/>
      <c r="S272" s="10"/>
      <c r="T272" s="10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ht="21.75" customHeight="1" x14ac:dyDescent="0.55000000000000004">
      <c r="A273" s="6"/>
      <c r="B273" s="6"/>
      <c r="C273" s="9"/>
      <c r="D273" s="9"/>
      <c r="E273" s="9"/>
      <c r="F273" s="9"/>
      <c r="G273" s="9"/>
      <c r="H273" s="9"/>
      <c r="I273" s="9"/>
      <c r="J273" s="98"/>
      <c r="K273" s="9"/>
      <c r="L273" s="9"/>
      <c r="M273" s="9"/>
      <c r="N273" s="9"/>
      <c r="O273" s="9"/>
      <c r="P273" s="9"/>
      <c r="Q273" s="78"/>
      <c r="R273" s="10"/>
      <c r="S273" s="10"/>
      <c r="T273" s="10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ht="21.75" customHeight="1" x14ac:dyDescent="0.55000000000000004">
      <c r="A274" s="6"/>
      <c r="B274" s="6"/>
      <c r="C274" s="9"/>
      <c r="D274" s="9"/>
      <c r="E274" s="9"/>
      <c r="F274" s="9"/>
      <c r="G274" s="9"/>
      <c r="H274" s="9"/>
      <c r="I274" s="9"/>
      <c r="J274" s="98"/>
      <c r="K274" s="9"/>
      <c r="L274" s="9"/>
      <c r="M274" s="9"/>
      <c r="N274" s="9"/>
      <c r="O274" s="9"/>
      <c r="P274" s="9"/>
      <c r="Q274" s="78"/>
      <c r="R274" s="10"/>
      <c r="S274" s="10"/>
      <c r="T274" s="10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ht="21.75" customHeight="1" x14ac:dyDescent="0.55000000000000004">
      <c r="A275" s="6"/>
      <c r="B275" s="6"/>
      <c r="C275" s="9"/>
      <c r="D275" s="9"/>
      <c r="E275" s="9"/>
      <c r="F275" s="9"/>
      <c r="G275" s="9"/>
      <c r="H275" s="9"/>
      <c r="I275" s="9"/>
      <c r="J275" s="98"/>
      <c r="K275" s="9"/>
      <c r="L275" s="9"/>
      <c r="M275" s="9"/>
      <c r="N275" s="9"/>
      <c r="O275" s="9"/>
      <c r="P275" s="9"/>
      <c r="Q275" s="78"/>
      <c r="R275" s="10"/>
      <c r="S275" s="10"/>
      <c r="T275" s="10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ht="21.75" customHeight="1" x14ac:dyDescent="0.55000000000000004">
      <c r="A276" s="6"/>
      <c r="B276" s="6"/>
      <c r="C276" s="9"/>
      <c r="D276" s="9"/>
      <c r="E276" s="9"/>
      <c r="F276" s="9"/>
      <c r="G276" s="9"/>
      <c r="H276" s="9"/>
      <c r="I276" s="9"/>
      <c r="J276" s="98"/>
      <c r="K276" s="9"/>
      <c r="L276" s="9"/>
      <c r="M276" s="9"/>
      <c r="N276" s="9"/>
      <c r="O276" s="9"/>
      <c r="P276" s="9"/>
      <c r="Q276" s="78"/>
      <c r="R276" s="10"/>
      <c r="S276" s="10"/>
      <c r="T276" s="10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ht="21.75" customHeight="1" x14ac:dyDescent="0.55000000000000004">
      <c r="A277" s="6"/>
      <c r="B277" s="6"/>
      <c r="C277" s="9"/>
      <c r="D277" s="9"/>
      <c r="E277" s="9"/>
      <c r="F277" s="9"/>
      <c r="G277" s="9"/>
      <c r="H277" s="9"/>
      <c r="I277" s="9"/>
      <c r="J277" s="98"/>
      <c r="K277" s="9"/>
      <c r="L277" s="9"/>
      <c r="M277" s="9"/>
      <c r="N277" s="9"/>
      <c r="O277" s="9"/>
      <c r="P277" s="9"/>
      <c r="Q277" s="78"/>
      <c r="R277" s="10"/>
      <c r="S277" s="10"/>
      <c r="T277" s="10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ht="21.75" customHeight="1" x14ac:dyDescent="0.55000000000000004">
      <c r="A278" s="6"/>
      <c r="B278" s="6"/>
      <c r="C278" s="9"/>
      <c r="D278" s="9"/>
      <c r="E278" s="9"/>
      <c r="F278" s="9"/>
      <c r="G278" s="9"/>
      <c r="H278" s="9"/>
      <c r="I278" s="9"/>
      <c r="J278" s="98"/>
      <c r="K278" s="9"/>
      <c r="L278" s="9"/>
      <c r="M278" s="9"/>
      <c r="N278" s="9"/>
      <c r="O278" s="9"/>
      <c r="P278" s="9"/>
      <c r="Q278" s="78"/>
      <c r="R278" s="10"/>
      <c r="S278" s="10"/>
      <c r="T278" s="10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ht="21.75" customHeight="1" x14ac:dyDescent="0.55000000000000004">
      <c r="A279" s="6"/>
      <c r="B279" s="6"/>
      <c r="C279" s="9"/>
      <c r="D279" s="9"/>
      <c r="E279" s="9"/>
      <c r="F279" s="9"/>
      <c r="G279" s="9"/>
      <c r="H279" s="9"/>
      <c r="I279" s="9"/>
      <c r="J279" s="98"/>
      <c r="K279" s="9"/>
      <c r="L279" s="9"/>
      <c r="M279" s="9"/>
      <c r="N279" s="9"/>
      <c r="O279" s="9"/>
      <c r="P279" s="9"/>
      <c r="Q279" s="78"/>
      <c r="R279" s="10"/>
      <c r="S279" s="10"/>
      <c r="T279" s="10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ht="21.75" customHeight="1" x14ac:dyDescent="0.55000000000000004">
      <c r="A280" s="6"/>
      <c r="B280" s="6"/>
      <c r="C280" s="9"/>
      <c r="D280" s="9"/>
      <c r="E280" s="9"/>
      <c r="F280" s="9"/>
      <c r="G280" s="9"/>
      <c r="H280" s="9"/>
      <c r="I280" s="9"/>
      <c r="J280" s="98"/>
      <c r="K280" s="9"/>
      <c r="L280" s="9"/>
      <c r="M280" s="9"/>
      <c r="N280" s="9"/>
      <c r="O280" s="9"/>
      <c r="P280" s="9"/>
      <c r="Q280" s="78"/>
      <c r="R280" s="10"/>
      <c r="S280" s="10"/>
      <c r="T280" s="10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ht="21.75" customHeight="1" x14ac:dyDescent="0.55000000000000004">
      <c r="A281" s="6"/>
      <c r="B281" s="6"/>
      <c r="C281" s="9"/>
      <c r="D281" s="9"/>
      <c r="E281" s="9"/>
      <c r="F281" s="9"/>
      <c r="G281" s="9"/>
      <c r="H281" s="9"/>
      <c r="I281" s="9"/>
      <c r="J281" s="98"/>
      <c r="K281" s="9"/>
      <c r="L281" s="9"/>
      <c r="M281" s="9"/>
      <c r="N281" s="9"/>
      <c r="O281" s="9"/>
      <c r="P281" s="9"/>
      <c r="Q281" s="78"/>
      <c r="R281" s="10"/>
      <c r="S281" s="10"/>
      <c r="T281" s="10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ht="21.75" customHeight="1" x14ac:dyDescent="0.55000000000000004">
      <c r="A282" s="6"/>
      <c r="B282" s="6"/>
      <c r="C282" s="9"/>
      <c r="D282" s="9"/>
      <c r="E282" s="9"/>
      <c r="F282" s="9"/>
      <c r="G282" s="9"/>
      <c r="H282" s="9"/>
      <c r="I282" s="9"/>
      <c r="J282" s="98"/>
      <c r="K282" s="9"/>
      <c r="L282" s="9"/>
      <c r="M282" s="9"/>
      <c r="N282" s="9"/>
      <c r="O282" s="9"/>
      <c r="P282" s="9"/>
      <c r="Q282" s="78"/>
      <c r="R282" s="10"/>
      <c r="S282" s="10"/>
      <c r="T282" s="10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ht="21.75" customHeight="1" x14ac:dyDescent="0.55000000000000004">
      <c r="A283" s="6"/>
      <c r="B283" s="6"/>
      <c r="C283" s="9"/>
      <c r="D283" s="9"/>
      <c r="E283" s="9"/>
      <c r="F283" s="9"/>
      <c r="G283" s="9"/>
      <c r="H283" s="9"/>
      <c r="I283" s="9"/>
      <c r="J283" s="98"/>
      <c r="K283" s="9"/>
      <c r="L283" s="9"/>
      <c r="M283" s="9"/>
      <c r="N283" s="9"/>
      <c r="O283" s="9"/>
      <c r="P283" s="9"/>
      <c r="Q283" s="78"/>
      <c r="R283" s="10"/>
      <c r="S283" s="10"/>
      <c r="T283" s="10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ht="21.75" customHeight="1" x14ac:dyDescent="0.55000000000000004">
      <c r="A284" s="6"/>
      <c r="B284" s="6"/>
      <c r="C284" s="9"/>
      <c r="D284" s="9"/>
      <c r="E284" s="9"/>
      <c r="F284" s="9"/>
      <c r="G284" s="9"/>
      <c r="H284" s="9"/>
      <c r="I284" s="9"/>
      <c r="J284" s="98"/>
      <c r="K284" s="9"/>
      <c r="L284" s="9"/>
      <c r="M284" s="9"/>
      <c r="N284" s="9"/>
      <c r="O284" s="9"/>
      <c r="P284" s="9"/>
      <c r="Q284" s="78"/>
      <c r="R284" s="10"/>
      <c r="S284" s="10"/>
      <c r="T284" s="10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ht="21.75" customHeight="1" x14ac:dyDescent="0.55000000000000004">
      <c r="A285" s="6"/>
      <c r="B285" s="6"/>
      <c r="C285" s="9"/>
      <c r="D285" s="9"/>
      <c r="E285" s="9"/>
      <c r="F285" s="9"/>
      <c r="G285" s="9"/>
      <c r="H285" s="9"/>
      <c r="I285" s="9"/>
      <c r="J285" s="98"/>
      <c r="K285" s="9"/>
      <c r="L285" s="9"/>
      <c r="M285" s="9"/>
      <c r="N285" s="9"/>
      <c r="O285" s="9"/>
      <c r="P285" s="9"/>
      <c r="Q285" s="78"/>
      <c r="R285" s="10"/>
      <c r="S285" s="10"/>
      <c r="T285" s="10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ht="21.75" customHeight="1" x14ac:dyDescent="0.55000000000000004">
      <c r="A286" s="6"/>
      <c r="B286" s="6"/>
      <c r="C286" s="9"/>
      <c r="D286" s="9"/>
      <c r="E286" s="9"/>
      <c r="F286" s="9"/>
      <c r="G286" s="9"/>
      <c r="H286" s="9"/>
      <c r="I286" s="9"/>
      <c r="J286" s="98"/>
      <c r="K286" s="9"/>
      <c r="L286" s="9"/>
      <c r="M286" s="9"/>
      <c r="N286" s="9"/>
      <c r="O286" s="9"/>
      <c r="P286" s="9"/>
      <c r="Q286" s="78"/>
      <c r="R286" s="10"/>
      <c r="S286" s="10"/>
      <c r="T286" s="10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ht="15.75" customHeight="1" x14ac:dyDescent="0.25">
      <c r="J287" s="103"/>
    </row>
    <row r="288" spans="1:35" ht="15.75" customHeight="1" x14ac:dyDescent="0.25">
      <c r="J288" s="103"/>
    </row>
    <row r="289" spans="10:10" ht="15.75" customHeight="1" x14ac:dyDescent="0.25">
      <c r="J289" s="103"/>
    </row>
    <row r="290" spans="10:10" ht="15.75" customHeight="1" x14ac:dyDescent="0.25">
      <c r="J290" s="103"/>
    </row>
    <row r="291" spans="10:10" ht="15.75" customHeight="1" x14ac:dyDescent="0.25">
      <c r="J291" s="103"/>
    </row>
    <row r="292" spans="10:10" ht="15.75" customHeight="1" x14ac:dyDescent="0.25">
      <c r="J292" s="103"/>
    </row>
    <row r="293" spans="10:10" ht="15.75" customHeight="1" x14ac:dyDescent="0.25">
      <c r="J293" s="103"/>
    </row>
    <row r="294" spans="10:10" ht="15.75" customHeight="1" x14ac:dyDescent="0.25">
      <c r="J294" s="103"/>
    </row>
    <row r="295" spans="10:10" ht="15.75" customHeight="1" x14ac:dyDescent="0.25">
      <c r="J295" s="103"/>
    </row>
    <row r="296" spans="10:10" ht="15.75" customHeight="1" x14ac:dyDescent="0.25">
      <c r="J296" s="103"/>
    </row>
    <row r="297" spans="10:10" ht="15.75" customHeight="1" x14ac:dyDescent="0.25">
      <c r="J297" s="103"/>
    </row>
    <row r="298" spans="10:10" ht="15.75" customHeight="1" x14ac:dyDescent="0.25">
      <c r="J298" s="103"/>
    </row>
    <row r="299" spans="10:10" ht="15.75" customHeight="1" x14ac:dyDescent="0.25">
      <c r="J299" s="103"/>
    </row>
    <row r="300" spans="10:10" ht="15.75" customHeight="1" x14ac:dyDescent="0.25">
      <c r="J300" s="103"/>
    </row>
    <row r="301" spans="10:10" ht="15.75" customHeight="1" x14ac:dyDescent="0.25">
      <c r="J301" s="103"/>
    </row>
    <row r="302" spans="10:10" ht="15.75" customHeight="1" x14ac:dyDescent="0.25">
      <c r="J302" s="103"/>
    </row>
    <row r="303" spans="10:10" ht="15.75" customHeight="1" x14ac:dyDescent="0.25">
      <c r="J303" s="103"/>
    </row>
    <row r="304" spans="10:10" ht="15.75" customHeight="1" x14ac:dyDescent="0.25">
      <c r="J304" s="103"/>
    </row>
    <row r="305" spans="10:10" ht="15.75" customHeight="1" x14ac:dyDescent="0.25">
      <c r="J305" s="103"/>
    </row>
    <row r="306" spans="10:10" ht="15.75" customHeight="1" x14ac:dyDescent="0.25">
      <c r="J306" s="103"/>
    </row>
    <row r="307" spans="10:10" ht="15.75" customHeight="1" x14ac:dyDescent="0.25">
      <c r="J307" s="103"/>
    </row>
    <row r="308" spans="10:10" ht="15.75" customHeight="1" x14ac:dyDescent="0.25">
      <c r="J308" s="103"/>
    </row>
    <row r="309" spans="10:10" ht="15.75" customHeight="1" x14ac:dyDescent="0.25">
      <c r="J309" s="103"/>
    </row>
    <row r="310" spans="10:10" ht="15.75" customHeight="1" x14ac:dyDescent="0.25">
      <c r="J310" s="103"/>
    </row>
    <row r="311" spans="10:10" ht="15.75" customHeight="1" x14ac:dyDescent="0.25">
      <c r="J311" s="103"/>
    </row>
    <row r="312" spans="10:10" ht="15.75" customHeight="1" x14ac:dyDescent="0.25">
      <c r="J312" s="103"/>
    </row>
    <row r="313" spans="10:10" ht="15.75" customHeight="1" x14ac:dyDescent="0.25">
      <c r="J313" s="103"/>
    </row>
    <row r="314" spans="10:10" ht="15.75" customHeight="1" x14ac:dyDescent="0.25">
      <c r="J314" s="103"/>
    </row>
  </sheetData>
  <mergeCells count="45">
    <mergeCell ref="R7:R9"/>
    <mergeCell ref="N7:Q9"/>
    <mergeCell ref="E10:E12"/>
    <mergeCell ref="F11:F12"/>
    <mergeCell ref="N11:N12"/>
    <mergeCell ref="D48:D56"/>
    <mergeCell ref="C57:E57"/>
    <mergeCell ref="C40:E40"/>
    <mergeCell ref="D42:D46"/>
    <mergeCell ref="A42:A46"/>
    <mergeCell ref="A48:A56"/>
    <mergeCell ref="W6:Z6"/>
    <mergeCell ref="S7:S8"/>
    <mergeCell ref="T7:T9"/>
    <mergeCell ref="U7:U9"/>
    <mergeCell ref="J7:M9"/>
    <mergeCell ref="A7:A9"/>
    <mergeCell ref="A10:A12"/>
    <mergeCell ref="C48:C56"/>
    <mergeCell ref="C42:C46"/>
    <mergeCell ref="A3:E3"/>
    <mergeCell ref="C7:C9"/>
    <mergeCell ref="F7:I9"/>
    <mergeCell ref="E7:E9"/>
    <mergeCell ref="C10:C12"/>
    <mergeCell ref="D10:D12"/>
    <mergeCell ref="J11:J12"/>
    <mergeCell ref="D7:D9"/>
    <mergeCell ref="C14:C39"/>
    <mergeCell ref="D14:D39"/>
    <mergeCell ref="A14:A39"/>
    <mergeCell ref="A76:B76"/>
    <mergeCell ref="A65:B75"/>
    <mergeCell ref="A59:A61"/>
    <mergeCell ref="A64:C64"/>
    <mergeCell ref="C62:E62"/>
    <mergeCell ref="C65:C75"/>
    <mergeCell ref="D65:D75"/>
    <mergeCell ref="C59:C61"/>
    <mergeCell ref="D59:D61"/>
    <mergeCell ref="N86:Q86"/>
    <mergeCell ref="N87:Q87"/>
    <mergeCell ref="N85:Q85"/>
    <mergeCell ref="N84:Q84"/>
    <mergeCell ref="C76:E76"/>
  </mergeCells>
  <pageMargins left="0.7" right="0.7" top="0.75" bottom="0.75" header="0" footer="0"/>
  <pageSetup orientation="landscape" r:id="rId1"/>
  <ignoredErrors>
    <ignoredError sqref="M3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Earthwork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MSD1</dc:creator>
  <cp:lastModifiedBy>MSD1</cp:lastModifiedBy>
  <cp:lastPrinted>2013-12-09T06:56:15Z</cp:lastPrinted>
  <dcterms:created xsi:type="dcterms:W3CDTF">2006-09-16T00:00:00Z</dcterms:created>
  <dcterms:modified xsi:type="dcterms:W3CDTF">2026-08-17T14:52:25Z</dcterms:modified>
</cp:coreProperties>
</file>