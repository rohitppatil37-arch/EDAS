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<sst xmlns="http://schemas.openxmlformats.org/spreadsheetml/2006/main" count="51" uniqueCount="51">
  <si>
    <t xml:space="preserve">         Statement Showing the Consumption of fuel for the period 01.05.2026 to 31.05.2026</t>
  </si>
  <si>
    <t xml:space="preserve">Sub Division :- Mechanical Subdivision No. 1, Alore </t>
  </si>
  <si>
    <t>Sr. No.</t>
  </si>
  <si>
    <t>Name &amp; No. of Machinery</t>
  </si>
  <si>
    <t>Diesel Opening Balance</t>
  </si>
  <si>
    <t>Diesel Issued</t>
  </si>
  <si>
    <t>Total Diesel</t>
  </si>
  <si>
    <t>Actual Consumption</t>
  </si>
  <si>
    <t>Closing Balnace</t>
  </si>
  <si>
    <t>Hours</t>
  </si>
  <si>
    <t>KM</t>
  </si>
  <si>
    <t>Average</t>
  </si>
  <si>
    <t>Remark</t>
  </si>
  <si>
    <t>Mahindra Traco MH.08 G.0214</t>
  </si>
  <si>
    <t>Mahindra Truxo MH.08 G.0225</t>
  </si>
  <si>
    <t>Escort Crane No.MOC 8 E 73</t>
  </si>
  <si>
    <t>Tata Xenon Yodha MH.08 AP.1244</t>
  </si>
  <si>
    <t>Mahindra Bolero Pickup MH.11 AB.270</t>
  </si>
  <si>
    <t>Mahindra Bolero Camper MH.08 F.0344</t>
  </si>
  <si>
    <t xml:space="preserve">Diesel Welding Machine 26/2KO33987 </t>
  </si>
  <si>
    <t>JCB NXT 205 Sr. No. 3132776</t>
  </si>
  <si>
    <t>JCB NXT 205 Sr. No. 3132777</t>
  </si>
  <si>
    <t>JCB NXT 205 Sr. No. 3132778</t>
  </si>
  <si>
    <t>JCB NXT 205 Sr. No. 3132779</t>
  </si>
  <si>
    <t>JCB NXT 205 Sr. No. 3132780</t>
  </si>
  <si>
    <t>JCB NXT 205 Sr. No. 3132781</t>
  </si>
  <si>
    <t>Sany SY 350 Sr. No. 628</t>
  </si>
  <si>
    <t>Sany SY 350 Sr. No. 658</t>
  </si>
  <si>
    <t>Tata Hitachi EX 350 Sr.No.0404</t>
  </si>
  <si>
    <t>BEML BD 80  15347</t>
  </si>
  <si>
    <t>Shantui SD16 Dozer No.108968</t>
  </si>
  <si>
    <t>Cat D7G 4259</t>
  </si>
  <si>
    <t>Mahindra Blazo MH.08 AP.4831</t>
  </si>
  <si>
    <t>Mahindra Blazo MH.08 AP.4832</t>
  </si>
  <si>
    <t>Mahindra Blazo MH.08 AP.4834</t>
  </si>
  <si>
    <t>Mahindra Blazo MH.08 AP.4835</t>
  </si>
  <si>
    <t>Mahindra Blazo MH.08 AP.4836</t>
  </si>
  <si>
    <t>Mahindra Blazo MH.08 AP.4837</t>
  </si>
  <si>
    <t>Mahindra Blazo MH.08 AP.4838</t>
  </si>
  <si>
    <t>Mahindra Blazo MH.08 AP.4839</t>
  </si>
  <si>
    <t>Mahindra Blazo MH.08 AP.4840</t>
  </si>
  <si>
    <t>Mahindra Blazo MH.08 AP.4841</t>
  </si>
  <si>
    <t>Mahindra Blazo MH.08 AP.4843</t>
  </si>
  <si>
    <t>Mahindra Blazo MH.08 AP.4844</t>
  </si>
  <si>
    <t>Mahindra Blazo MH.08 AP.4845</t>
  </si>
  <si>
    <t>Mahindra Blazo MH.08 AP.4846</t>
  </si>
  <si>
    <t>Mahindra Blazo MH.08 AP.4868</t>
  </si>
  <si>
    <t>Eicher Tipper MH.39 AD.0518</t>
  </si>
  <si>
    <t>Eicher Tipper MH.39 AD.0520</t>
  </si>
  <si>
    <t>Eicher Tipper MH.39 AD.0522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</si>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</sst>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3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shrinkToFit="0" wrapText="1"/>
    </xf>
    <xf borderId="4" fillId="2" fontId="3" numFmtId="0" xfId="0" applyAlignment="1" applyBorder="1" applyFill="1" applyFont="1">
      <alignment horizontal="center"/>
    </xf>
    <xf borderId="4" fillId="2" fontId="3" numFmtId="0" xfId="0" applyBorder="1" applyFont="1"/>
    <xf borderId="4" fillId="2" fontId="3" numFmtId="2" xfId="0" applyAlignment="1" applyBorder="1" applyFont="1" applyNumberFormat="1">
      <alignment horizont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vertical="center"/>
    </xf>
    <xf borderId="4" fillId="2" fontId="3" numFmtId="2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right" vertical="center"/>
    </xf>
    <xf borderId="4" fillId="2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86"/>
    <col customWidth="1" min="3" max="3" width="21.57"/>
    <col customWidth="1" min="4" max="4" width="12.43"/>
    <col customWidth="1" min="5" max="5" width="11.14"/>
    <col customWidth="1" min="6" max="6" width="14.29"/>
    <col customWidth="1" min="7" max="7" width="14.86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3"/>
      <c r="H2" s="5"/>
      <c r="I2" s="5"/>
      <c r="J2" s="5"/>
      <c r="K2" s="5"/>
    </row>
    <row r="3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</row>
    <row r="4">
      <c r="A4" s="10">
        <v>1.0</v>
      </c>
      <c r="B4" s="11" t="s">
        <v>13</v>
      </c>
      <c r="C4" s="12">
        <v>13.22</v>
      </c>
      <c r="D4" s="12">
        <v>200.0</v>
      </c>
      <c r="E4" s="12">
        <f t="shared" ref="E4:E40" si="1">SUM(C4:D4)</f>
        <v>213.22</v>
      </c>
      <c r="F4" s="12">
        <f t="shared" ref="F4:F40" si="2">D4</f>
        <v>200</v>
      </c>
      <c r="G4" s="12">
        <f t="shared" ref="G4:G40" si="3">E4-F4</f>
        <v>13.22</v>
      </c>
      <c r="H4" s="12">
        <v>0.0</v>
      </c>
      <c r="I4" s="12">
        <v>366.0</v>
      </c>
      <c r="J4" s="12">
        <f t="shared" ref="J4:J5" si="4">I4/F4</f>
        <v>1.83</v>
      </c>
      <c r="K4" s="10"/>
    </row>
    <row r="5">
      <c r="A5" s="10">
        <v>2.0</v>
      </c>
      <c r="B5" s="11" t="s">
        <v>14</v>
      </c>
      <c r="C5" s="12">
        <v>34.98</v>
      </c>
      <c r="D5" s="12">
        <v>450.0</v>
      </c>
      <c r="E5" s="12">
        <f t="shared" si="1"/>
        <v>484.98</v>
      </c>
      <c r="F5" s="12">
        <f t="shared" si="2"/>
        <v>450</v>
      </c>
      <c r="G5" s="12">
        <f t="shared" si="3"/>
        <v>34.98</v>
      </c>
      <c r="H5" s="12">
        <v>0.0</v>
      </c>
      <c r="I5" s="12">
        <v>1381.0</v>
      </c>
      <c r="J5" s="12">
        <f t="shared" si="4"/>
        <v>3.068888889</v>
      </c>
      <c r="K5" s="10"/>
    </row>
    <row r="6">
      <c r="A6" s="10">
        <v>3.0</v>
      </c>
      <c r="B6" s="11" t="s">
        <v>15</v>
      </c>
      <c r="C6" s="12">
        <v>7.0</v>
      </c>
      <c r="D6" s="12">
        <v>0.0</v>
      </c>
      <c r="E6" s="12">
        <f t="shared" si="1"/>
        <v>7</v>
      </c>
      <c r="F6" s="12">
        <f t="shared" si="2"/>
        <v>0</v>
      </c>
      <c r="G6" s="12">
        <f t="shared" si="3"/>
        <v>7</v>
      </c>
      <c r="H6" s="12">
        <v>0.0</v>
      </c>
      <c r="I6" s="12">
        <v>0.0</v>
      </c>
      <c r="J6" s="12">
        <v>0.0</v>
      </c>
      <c r="K6" s="10"/>
    </row>
    <row r="7">
      <c r="A7" s="10">
        <v>4.0</v>
      </c>
      <c r="B7" s="11" t="s">
        <v>16</v>
      </c>
      <c r="C7" s="12">
        <v>16.49</v>
      </c>
      <c r="D7" s="12">
        <v>236.72</v>
      </c>
      <c r="E7" s="12">
        <f t="shared" si="1"/>
        <v>253.21</v>
      </c>
      <c r="F7" s="12">
        <f t="shared" si="2"/>
        <v>236.72</v>
      </c>
      <c r="G7" s="12">
        <f t="shared" si="3"/>
        <v>16.49</v>
      </c>
      <c r="H7" s="12">
        <v>0.0</v>
      </c>
      <c r="I7" s="12">
        <v>3030.0</v>
      </c>
      <c r="J7" s="12">
        <f t="shared" ref="J7:J9" si="5">I7/F7</f>
        <v>12.79993241</v>
      </c>
      <c r="K7" s="10"/>
    </row>
    <row r="8">
      <c r="A8" s="10">
        <v>5.0</v>
      </c>
      <c r="B8" s="11" t="s">
        <v>17</v>
      </c>
      <c r="C8" s="12">
        <v>2.63</v>
      </c>
      <c r="D8" s="12">
        <v>175.88</v>
      </c>
      <c r="E8" s="12">
        <f t="shared" si="1"/>
        <v>178.51</v>
      </c>
      <c r="F8" s="12">
        <f t="shared" si="2"/>
        <v>175.88</v>
      </c>
      <c r="G8" s="12">
        <f t="shared" si="3"/>
        <v>2.63</v>
      </c>
      <c r="H8" s="12">
        <v>0.0</v>
      </c>
      <c r="I8" s="12">
        <v>2043.0</v>
      </c>
      <c r="J8" s="12">
        <f t="shared" si="5"/>
        <v>11.61587446</v>
      </c>
      <c r="K8" s="10"/>
    </row>
    <row r="9">
      <c r="A9" s="10">
        <v>6.0</v>
      </c>
      <c r="B9" s="11" t="s">
        <v>18</v>
      </c>
      <c r="C9" s="12">
        <v>8.82</v>
      </c>
      <c r="D9" s="12">
        <v>40.0</v>
      </c>
      <c r="E9" s="12">
        <f t="shared" si="1"/>
        <v>48.82</v>
      </c>
      <c r="F9" s="12">
        <f t="shared" si="2"/>
        <v>40</v>
      </c>
      <c r="G9" s="12">
        <f t="shared" si="3"/>
        <v>8.82</v>
      </c>
      <c r="H9" s="12">
        <v>0.0</v>
      </c>
      <c r="I9" s="12">
        <v>745.0</v>
      </c>
      <c r="J9" s="12">
        <f t="shared" si="5"/>
        <v>18.625</v>
      </c>
      <c r="K9" s="10"/>
    </row>
    <row r="10">
      <c r="A10" s="10">
        <v>7.0</v>
      </c>
      <c r="B10" s="11" t="s">
        <v>19</v>
      </c>
      <c r="C10" s="12">
        <v>21.0</v>
      </c>
      <c r="D10" s="12">
        <v>0.0</v>
      </c>
      <c r="E10" s="12">
        <f t="shared" si="1"/>
        <v>21</v>
      </c>
      <c r="F10" s="12">
        <f t="shared" si="2"/>
        <v>0</v>
      </c>
      <c r="G10" s="12">
        <f t="shared" si="3"/>
        <v>21</v>
      </c>
      <c r="H10" s="12">
        <v>0.0</v>
      </c>
      <c r="I10" s="12">
        <v>0.0</v>
      </c>
      <c r="J10" s="12">
        <v>0.0</v>
      </c>
      <c r="K10" s="10"/>
    </row>
    <row r="11">
      <c r="A11" s="10">
        <v>8.0</v>
      </c>
      <c r="B11" s="11" t="s">
        <v>20</v>
      </c>
      <c r="C11" s="12">
        <v>136.86</v>
      </c>
      <c r="D11" s="12">
        <v>900.0</v>
      </c>
      <c r="E11" s="12">
        <f t="shared" si="1"/>
        <v>1036.86</v>
      </c>
      <c r="F11" s="12">
        <f t="shared" si="2"/>
        <v>900</v>
      </c>
      <c r="G11" s="12">
        <f t="shared" si="3"/>
        <v>136.86</v>
      </c>
      <c r="H11" s="12">
        <v>79.0</v>
      </c>
      <c r="I11" s="12">
        <v>0.0</v>
      </c>
      <c r="J11" s="12">
        <f t="shared" ref="J11:J18" si="6">F11/H11</f>
        <v>11.39240506</v>
      </c>
      <c r="K11" s="10"/>
    </row>
    <row r="12">
      <c r="A12" s="10">
        <v>9.0</v>
      </c>
      <c r="B12" s="11" t="s">
        <v>21</v>
      </c>
      <c r="C12" s="12">
        <v>169.62</v>
      </c>
      <c r="D12" s="12">
        <v>1400.0</v>
      </c>
      <c r="E12" s="12">
        <f t="shared" si="1"/>
        <v>1569.62</v>
      </c>
      <c r="F12" s="12">
        <f t="shared" si="2"/>
        <v>1400</v>
      </c>
      <c r="G12" s="12">
        <f t="shared" si="3"/>
        <v>169.62</v>
      </c>
      <c r="H12" s="12">
        <v>121.0</v>
      </c>
      <c r="I12" s="12">
        <v>0.0</v>
      </c>
      <c r="J12" s="12">
        <f t="shared" si="6"/>
        <v>11.57024793</v>
      </c>
      <c r="K12" s="10"/>
    </row>
    <row r="13">
      <c r="A13" s="10">
        <v>10.0</v>
      </c>
      <c r="B13" s="11" t="s">
        <v>22</v>
      </c>
      <c r="C13" s="12">
        <v>82.09</v>
      </c>
      <c r="D13" s="12">
        <v>1300.0</v>
      </c>
      <c r="E13" s="12">
        <f t="shared" si="1"/>
        <v>1382.09</v>
      </c>
      <c r="F13" s="12">
        <f t="shared" si="2"/>
        <v>1300</v>
      </c>
      <c r="G13" s="12">
        <f t="shared" si="3"/>
        <v>82.09</v>
      </c>
      <c r="H13" s="12">
        <v>115.0</v>
      </c>
      <c r="I13" s="12">
        <v>0.0</v>
      </c>
      <c r="J13" s="12">
        <f t="shared" si="6"/>
        <v>11.30434783</v>
      </c>
      <c r="K13" s="10"/>
    </row>
    <row r="14">
      <c r="A14" s="10">
        <v>11.0</v>
      </c>
      <c r="B14" s="11" t="s">
        <v>23</v>
      </c>
      <c r="C14" s="12">
        <v>34.99</v>
      </c>
      <c r="D14" s="12">
        <v>1200.0</v>
      </c>
      <c r="E14" s="12">
        <f t="shared" si="1"/>
        <v>1234.99</v>
      </c>
      <c r="F14" s="12">
        <f t="shared" si="2"/>
        <v>1200</v>
      </c>
      <c r="G14" s="12">
        <f t="shared" si="3"/>
        <v>34.99</v>
      </c>
      <c r="H14" s="12">
        <v>92.0</v>
      </c>
      <c r="I14" s="12">
        <v>0.0</v>
      </c>
      <c r="J14" s="12">
        <f t="shared" si="6"/>
        <v>13.04347826</v>
      </c>
      <c r="K14" s="10"/>
    </row>
    <row r="15">
      <c r="A15" s="10">
        <v>12.0</v>
      </c>
      <c r="B15" s="11" t="s">
        <v>24</v>
      </c>
      <c r="C15" s="12">
        <v>94.91</v>
      </c>
      <c r="D15" s="12">
        <v>2400.0</v>
      </c>
      <c r="E15" s="12">
        <f t="shared" si="1"/>
        <v>2494.91</v>
      </c>
      <c r="F15" s="12">
        <f t="shared" si="2"/>
        <v>2400</v>
      </c>
      <c r="G15" s="12">
        <f t="shared" si="3"/>
        <v>94.91</v>
      </c>
      <c r="H15" s="12">
        <v>191.0</v>
      </c>
      <c r="I15" s="12">
        <v>0.0</v>
      </c>
      <c r="J15" s="12">
        <f t="shared" si="6"/>
        <v>12.56544503</v>
      </c>
      <c r="K15" s="10"/>
    </row>
    <row r="16">
      <c r="A16" s="10">
        <v>13.0</v>
      </c>
      <c r="B16" s="11" t="s">
        <v>25</v>
      </c>
      <c r="C16" s="12">
        <v>80.0</v>
      </c>
      <c r="D16" s="12">
        <v>1000.0</v>
      </c>
      <c r="E16" s="12">
        <f t="shared" si="1"/>
        <v>1080</v>
      </c>
      <c r="F16" s="12">
        <f t="shared" si="2"/>
        <v>1000</v>
      </c>
      <c r="G16" s="12">
        <f t="shared" si="3"/>
        <v>80</v>
      </c>
      <c r="H16" s="12">
        <v>79.0</v>
      </c>
      <c r="I16" s="12">
        <v>0.0</v>
      </c>
      <c r="J16" s="12">
        <f t="shared" si="6"/>
        <v>12.65822785</v>
      </c>
      <c r="K16" s="10"/>
    </row>
    <row r="17">
      <c r="A17" s="10">
        <v>14.0</v>
      </c>
      <c r="B17" s="11" t="s">
        <v>26</v>
      </c>
      <c r="C17" s="12">
        <v>49.99</v>
      </c>
      <c r="D17" s="12">
        <v>3050.0</v>
      </c>
      <c r="E17" s="12">
        <f t="shared" si="1"/>
        <v>3099.99</v>
      </c>
      <c r="F17" s="12">
        <f t="shared" si="2"/>
        <v>3050</v>
      </c>
      <c r="G17" s="12">
        <f t="shared" si="3"/>
        <v>49.99</v>
      </c>
      <c r="H17" s="12">
        <v>138.0</v>
      </c>
      <c r="I17" s="12">
        <v>0.0</v>
      </c>
      <c r="J17" s="12">
        <f t="shared" si="6"/>
        <v>22.10144928</v>
      </c>
      <c r="K17" s="10"/>
    </row>
    <row r="18">
      <c r="A18" s="13">
        <v>15.0</v>
      </c>
      <c r="B18" s="14" t="s">
        <v>27</v>
      </c>
      <c r="C18" s="15">
        <v>151.17</v>
      </c>
      <c r="D18" s="12">
        <v>1800.0</v>
      </c>
      <c r="E18" s="15">
        <f t="shared" si="1"/>
        <v>1951.17</v>
      </c>
      <c r="F18" s="12">
        <f t="shared" si="2"/>
        <v>1800</v>
      </c>
      <c r="G18" s="15">
        <f t="shared" si="3"/>
        <v>151.17</v>
      </c>
      <c r="H18" s="15">
        <v>100.0</v>
      </c>
      <c r="I18" s="15">
        <v>0.0</v>
      </c>
      <c r="J18" s="15">
        <f t="shared" si="6"/>
        <v>18</v>
      </c>
      <c r="K18" s="10"/>
    </row>
    <row r="19">
      <c r="A19" s="10">
        <v>16.0</v>
      </c>
      <c r="B19" s="11" t="s">
        <v>28</v>
      </c>
      <c r="C19" s="12">
        <v>330.0</v>
      </c>
      <c r="D19" s="12">
        <v>0.0</v>
      </c>
      <c r="E19" s="12">
        <f t="shared" si="1"/>
        <v>330</v>
      </c>
      <c r="F19" s="12">
        <f t="shared" si="2"/>
        <v>0</v>
      </c>
      <c r="G19" s="12">
        <f t="shared" si="3"/>
        <v>330</v>
      </c>
      <c r="H19" s="12">
        <v>0.0</v>
      </c>
      <c r="I19" s="12">
        <v>0.0</v>
      </c>
      <c r="J19" s="12">
        <v>0.0</v>
      </c>
      <c r="K19" s="10"/>
    </row>
    <row r="20">
      <c r="A20" s="13">
        <v>17.0</v>
      </c>
      <c r="B20" s="14" t="s">
        <v>29</v>
      </c>
      <c r="C20" s="15">
        <v>95.41</v>
      </c>
      <c r="D20" s="12">
        <v>2000.0</v>
      </c>
      <c r="E20" s="15">
        <f t="shared" si="1"/>
        <v>2095.41</v>
      </c>
      <c r="F20" s="12">
        <f t="shared" si="2"/>
        <v>2000</v>
      </c>
      <c r="G20" s="15">
        <f t="shared" si="3"/>
        <v>95.41</v>
      </c>
      <c r="H20" s="15">
        <v>170.0</v>
      </c>
      <c r="I20" s="15">
        <v>0.0</v>
      </c>
      <c r="J20" s="15">
        <f>F20/H20</f>
        <v>11.76470588</v>
      </c>
      <c r="K20" s="10"/>
    </row>
    <row r="21" ht="15.75" customHeight="1">
      <c r="A21" s="10">
        <v>18.0</v>
      </c>
      <c r="B21" s="11" t="s">
        <v>30</v>
      </c>
      <c r="C21" s="12">
        <v>126.53</v>
      </c>
      <c r="D21" s="12">
        <v>0.0</v>
      </c>
      <c r="E21" s="12">
        <f t="shared" si="1"/>
        <v>126.53</v>
      </c>
      <c r="F21" s="12">
        <f t="shared" si="2"/>
        <v>0</v>
      </c>
      <c r="G21" s="12">
        <f t="shared" si="3"/>
        <v>126.53</v>
      </c>
      <c r="H21" s="12">
        <v>0.0</v>
      </c>
      <c r="I21" s="12">
        <v>0.0</v>
      </c>
      <c r="J21" s="12">
        <v>0.0</v>
      </c>
      <c r="K21" s="10"/>
    </row>
    <row r="22" ht="15.75" customHeight="1">
      <c r="A22" s="10">
        <v>19.0</v>
      </c>
      <c r="B22" s="11" t="s">
        <v>31</v>
      </c>
      <c r="C22" s="12">
        <v>60.0</v>
      </c>
      <c r="D22" s="12">
        <v>0.0</v>
      </c>
      <c r="E22" s="12">
        <f t="shared" si="1"/>
        <v>60</v>
      </c>
      <c r="F22" s="12">
        <f t="shared" si="2"/>
        <v>0</v>
      </c>
      <c r="G22" s="12">
        <f t="shared" si="3"/>
        <v>60</v>
      </c>
      <c r="H22" s="12">
        <v>0.0</v>
      </c>
      <c r="I22" s="12">
        <v>0.0</v>
      </c>
      <c r="J22" s="12">
        <v>0.0</v>
      </c>
      <c r="K22" s="10"/>
    </row>
    <row r="23" ht="15.75" customHeight="1">
      <c r="A23" s="10">
        <v>20.0</v>
      </c>
      <c r="B23" s="11" t="s">
        <v>32</v>
      </c>
      <c r="C23" s="12">
        <v>110.0</v>
      </c>
      <c r="D23" s="12">
        <v>900.0</v>
      </c>
      <c r="E23" s="12">
        <f t="shared" si="1"/>
        <v>1010</v>
      </c>
      <c r="F23" s="12">
        <f t="shared" si="2"/>
        <v>900</v>
      </c>
      <c r="G23" s="12">
        <f t="shared" si="3"/>
        <v>110</v>
      </c>
      <c r="H23" s="12">
        <v>0.0</v>
      </c>
      <c r="I23" s="12">
        <v>1154.0</v>
      </c>
      <c r="J23" s="12">
        <f t="shared" ref="J23:J31" si="7">I23/F23</f>
        <v>1.282222222</v>
      </c>
      <c r="K23" s="10"/>
    </row>
    <row r="24" ht="15.75" customHeight="1">
      <c r="A24" s="10">
        <v>21.0</v>
      </c>
      <c r="B24" s="11" t="s">
        <v>33</v>
      </c>
      <c r="C24" s="12">
        <v>90.0</v>
      </c>
      <c r="D24" s="12">
        <v>700.0</v>
      </c>
      <c r="E24" s="12">
        <f t="shared" si="1"/>
        <v>790</v>
      </c>
      <c r="F24" s="12">
        <f t="shared" si="2"/>
        <v>700</v>
      </c>
      <c r="G24" s="12">
        <f t="shared" si="3"/>
        <v>90</v>
      </c>
      <c r="H24" s="12">
        <v>0.0</v>
      </c>
      <c r="I24" s="12">
        <v>795.0</v>
      </c>
      <c r="J24" s="12">
        <f t="shared" si="7"/>
        <v>1.135714286</v>
      </c>
      <c r="K24" s="10"/>
    </row>
    <row r="25" ht="15.75" customHeight="1">
      <c r="A25" s="10">
        <v>22.0</v>
      </c>
      <c r="B25" s="11" t="s">
        <v>34</v>
      </c>
      <c r="C25" s="12">
        <v>45.0</v>
      </c>
      <c r="D25" s="12">
        <v>300.0</v>
      </c>
      <c r="E25" s="12">
        <f t="shared" si="1"/>
        <v>345</v>
      </c>
      <c r="F25" s="12">
        <f t="shared" si="2"/>
        <v>300</v>
      </c>
      <c r="G25" s="12">
        <f t="shared" si="3"/>
        <v>45</v>
      </c>
      <c r="H25" s="12">
        <v>0.0</v>
      </c>
      <c r="I25" s="12">
        <v>405.0</v>
      </c>
      <c r="J25" s="12">
        <f t="shared" si="7"/>
        <v>1.35</v>
      </c>
      <c r="K25" s="10"/>
    </row>
    <row r="26" ht="15.75" customHeight="1">
      <c r="A26" s="10">
        <v>23.0</v>
      </c>
      <c r="B26" s="11" t="s">
        <v>35</v>
      </c>
      <c r="C26" s="12">
        <v>71.0</v>
      </c>
      <c r="D26" s="12">
        <v>600.0</v>
      </c>
      <c r="E26" s="12">
        <f t="shared" si="1"/>
        <v>671</v>
      </c>
      <c r="F26" s="12">
        <f t="shared" si="2"/>
        <v>600</v>
      </c>
      <c r="G26" s="12">
        <f t="shared" si="3"/>
        <v>71</v>
      </c>
      <c r="H26" s="12">
        <v>0.0</v>
      </c>
      <c r="I26" s="12">
        <v>825.0</v>
      </c>
      <c r="J26" s="12">
        <f t="shared" si="7"/>
        <v>1.375</v>
      </c>
      <c r="K26" s="10"/>
    </row>
    <row r="27" ht="15.75" customHeight="1">
      <c r="A27" s="10">
        <v>24.0</v>
      </c>
      <c r="B27" s="11" t="s">
        <v>36</v>
      </c>
      <c r="C27" s="12">
        <v>148.0</v>
      </c>
      <c r="D27" s="12">
        <v>789.0</v>
      </c>
      <c r="E27" s="12">
        <f t="shared" si="1"/>
        <v>937</v>
      </c>
      <c r="F27" s="12">
        <f t="shared" si="2"/>
        <v>789</v>
      </c>
      <c r="G27" s="12">
        <f t="shared" si="3"/>
        <v>148</v>
      </c>
      <c r="H27" s="12">
        <v>0.0</v>
      </c>
      <c r="I27" s="12">
        <v>921.0</v>
      </c>
      <c r="J27" s="12">
        <f t="shared" si="7"/>
        <v>1.16730038</v>
      </c>
      <c r="K27" s="10"/>
    </row>
    <row r="28" ht="15.75" customHeight="1">
      <c r="A28" s="10">
        <v>25.0</v>
      </c>
      <c r="B28" s="11" t="s">
        <v>37</v>
      </c>
      <c r="C28" s="12">
        <v>58.0</v>
      </c>
      <c r="D28" s="12">
        <v>600.0</v>
      </c>
      <c r="E28" s="12">
        <f t="shared" si="1"/>
        <v>658</v>
      </c>
      <c r="F28" s="12">
        <f t="shared" si="2"/>
        <v>600</v>
      </c>
      <c r="G28" s="12">
        <f t="shared" si="3"/>
        <v>58</v>
      </c>
      <c r="H28" s="12">
        <v>0.0</v>
      </c>
      <c r="I28" s="12">
        <v>855.0</v>
      </c>
      <c r="J28" s="12">
        <f t="shared" si="7"/>
        <v>1.425</v>
      </c>
      <c r="K28" s="10"/>
    </row>
    <row r="29" ht="15.75" customHeight="1">
      <c r="A29" s="10">
        <v>26.0</v>
      </c>
      <c r="B29" s="11" t="s">
        <v>38</v>
      </c>
      <c r="C29" s="12">
        <v>85.0</v>
      </c>
      <c r="D29" s="12">
        <v>800.0</v>
      </c>
      <c r="E29" s="12">
        <f t="shared" si="1"/>
        <v>885</v>
      </c>
      <c r="F29" s="12">
        <f t="shared" si="2"/>
        <v>800</v>
      </c>
      <c r="G29" s="12">
        <f t="shared" si="3"/>
        <v>85</v>
      </c>
      <c r="H29" s="12">
        <v>0.0</v>
      </c>
      <c r="I29" s="12">
        <v>894.0</v>
      </c>
      <c r="J29" s="12">
        <f t="shared" si="7"/>
        <v>1.1175</v>
      </c>
      <c r="K29" s="10"/>
    </row>
    <row r="30" ht="15.75" customHeight="1">
      <c r="A30" s="10">
        <v>27.0</v>
      </c>
      <c r="B30" s="11" t="s">
        <v>39</v>
      </c>
      <c r="C30" s="12">
        <v>140.0</v>
      </c>
      <c r="D30" s="12">
        <v>749.62</v>
      </c>
      <c r="E30" s="12">
        <f t="shared" si="1"/>
        <v>889.62</v>
      </c>
      <c r="F30" s="12">
        <f t="shared" si="2"/>
        <v>749.62</v>
      </c>
      <c r="G30" s="12">
        <f t="shared" si="3"/>
        <v>140</v>
      </c>
      <c r="H30" s="12">
        <v>0.0</v>
      </c>
      <c r="I30" s="12">
        <v>996.0</v>
      </c>
      <c r="J30" s="12">
        <f t="shared" si="7"/>
        <v>1.328673194</v>
      </c>
      <c r="K30" s="10"/>
    </row>
    <row r="31" ht="15.75" customHeight="1">
      <c r="A31" s="10">
        <v>28.0</v>
      </c>
      <c r="B31" s="11" t="s">
        <v>40</v>
      </c>
      <c r="C31" s="12">
        <v>60.0</v>
      </c>
      <c r="D31" s="12">
        <v>800.0</v>
      </c>
      <c r="E31" s="12">
        <f t="shared" si="1"/>
        <v>860</v>
      </c>
      <c r="F31" s="12">
        <f t="shared" si="2"/>
        <v>800</v>
      </c>
      <c r="G31" s="12">
        <f t="shared" si="3"/>
        <v>60</v>
      </c>
      <c r="H31" s="12">
        <v>0.0</v>
      </c>
      <c r="I31" s="12">
        <v>1006.0</v>
      </c>
      <c r="J31" s="12">
        <f t="shared" si="7"/>
        <v>1.2575</v>
      </c>
      <c r="K31" s="10"/>
    </row>
    <row r="32" ht="15.75" customHeight="1">
      <c r="A32" s="10">
        <v>29.0</v>
      </c>
      <c r="B32" s="11" t="s">
        <v>41</v>
      </c>
      <c r="C32" s="12">
        <v>35.0</v>
      </c>
      <c r="D32" s="12">
        <v>0.0</v>
      </c>
      <c r="E32" s="12">
        <f t="shared" si="1"/>
        <v>35</v>
      </c>
      <c r="F32" s="12">
        <f t="shared" si="2"/>
        <v>0</v>
      </c>
      <c r="G32" s="12">
        <f t="shared" si="3"/>
        <v>35</v>
      </c>
      <c r="H32" s="12">
        <v>0.0</v>
      </c>
      <c r="I32" s="12">
        <v>0.0</v>
      </c>
      <c r="J32" s="12">
        <v>0.0</v>
      </c>
      <c r="K32" s="10"/>
    </row>
    <row r="33" ht="15.75" customHeight="1">
      <c r="A33" s="10">
        <v>30.0</v>
      </c>
      <c r="B33" s="11" t="s">
        <v>42</v>
      </c>
      <c r="C33" s="12">
        <v>25.0</v>
      </c>
      <c r="D33" s="12">
        <v>200.0</v>
      </c>
      <c r="E33" s="12">
        <f t="shared" si="1"/>
        <v>225</v>
      </c>
      <c r="F33" s="12">
        <f t="shared" si="2"/>
        <v>200</v>
      </c>
      <c r="G33" s="12">
        <f t="shared" si="3"/>
        <v>25</v>
      </c>
      <c r="H33" s="12">
        <v>0.0</v>
      </c>
      <c r="I33" s="12">
        <v>358.0</v>
      </c>
      <c r="J33" s="12">
        <f t="shared" ref="J33:J35" si="8">I33/F33</f>
        <v>1.79</v>
      </c>
      <c r="K33" s="10"/>
    </row>
    <row r="34" ht="15.75" customHeight="1">
      <c r="A34" s="10">
        <v>31.0</v>
      </c>
      <c r="B34" s="11" t="s">
        <v>43</v>
      </c>
      <c r="C34" s="12">
        <v>147.0</v>
      </c>
      <c r="D34" s="12">
        <v>700.0</v>
      </c>
      <c r="E34" s="12">
        <f t="shared" si="1"/>
        <v>847</v>
      </c>
      <c r="F34" s="12">
        <f t="shared" si="2"/>
        <v>700</v>
      </c>
      <c r="G34" s="12">
        <f t="shared" si="3"/>
        <v>147</v>
      </c>
      <c r="H34" s="12">
        <v>0.0</v>
      </c>
      <c r="I34" s="12">
        <v>996.0</v>
      </c>
      <c r="J34" s="12">
        <f t="shared" si="8"/>
        <v>1.422857143</v>
      </c>
      <c r="K34" s="10"/>
    </row>
    <row r="35" ht="15.75" customHeight="1">
      <c r="A35" s="10">
        <v>32.0</v>
      </c>
      <c r="B35" s="11" t="s">
        <v>44</v>
      </c>
      <c r="C35" s="12">
        <v>66.0</v>
      </c>
      <c r="D35" s="12">
        <v>400.0</v>
      </c>
      <c r="E35" s="12">
        <f t="shared" si="1"/>
        <v>466</v>
      </c>
      <c r="F35" s="12">
        <f t="shared" si="2"/>
        <v>400</v>
      </c>
      <c r="G35" s="12">
        <f t="shared" si="3"/>
        <v>66</v>
      </c>
      <c r="H35" s="12">
        <v>0.0</v>
      </c>
      <c r="I35" s="12">
        <v>433.0</v>
      </c>
      <c r="J35" s="12">
        <f t="shared" si="8"/>
        <v>1.0825</v>
      </c>
      <c r="K35" s="10"/>
    </row>
    <row r="36" ht="15.75" customHeight="1">
      <c r="A36" s="10">
        <v>33.0</v>
      </c>
      <c r="B36" s="11" t="s">
        <v>45</v>
      </c>
      <c r="C36" s="12">
        <v>45.97</v>
      </c>
      <c r="D36" s="12">
        <v>0.0</v>
      </c>
      <c r="E36" s="12">
        <f t="shared" si="1"/>
        <v>45.97</v>
      </c>
      <c r="F36" s="12">
        <f t="shared" si="2"/>
        <v>0</v>
      </c>
      <c r="G36" s="12">
        <f t="shared" si="3"/>
        <v>45.97</v>
      </c>
      <c r="H36" s="12">
        <v>0.0</v>
      </c>
      <c r="I36" s="12">
        <v>0.0</v>
      </c>
      <c r="J36" s="12">
        <v>0.0</v>
      </c>
      <c r="K36" s="10"/>
    </row>
    <row r="37" ht="15.75" customHeight="1">
      <c r="A37" s="10">
        <v>34.0</v>
      </c>
      <c r="B37" s="11" t="s">
        <v>46</v>
      </c>
      <c r="C37" s="12">
        <v>51.0</v>
      </c>
      <c r="D37" s="12">
        <v>600.0</v>
      </c>
      <c r="E37" s="12">
        <f t="shared" si="1"/>
        <v>651</v>
      </c>
      <c r="F37" s="12">
        <f t="shared" si="2"/>
        <v>600</v>
      </c>
      <c r="G37" s="12">
        <f t="shared" si="3"/>
        <v>51</v>
      </c>
      <c r="H37" s="12">
        <v>0.0</v>
      </c>
      <c r="I37" s="12">
        <v>804.0</v>
      </c>
      <c r="J37" s="12">
        <f>I37/F37</f>
        <v>1.34</v>
      </c>
      <c r="K37" s="10"/>
    </row>
    <row r="38" ht="15.75" customHeight="1">
      <c r="A38" s="10">
        <v>35.0</v>
      </c>
      <c r="B38" s="11" t="s">
        <v>47</v>
      </c>
      <c r="C38" s="12">
        <v>220.0</v>
      </c>
      <c r="D38" s="12">
        <v>0.0</v>
      </c>
      <c r="E38" s="12">
        <f t="shared" si="1"/>
        <v>220</v>
      </c>
      <c r="F38" s="12">
        <f t="shared" si="2"/>
        <v>0</v>
      </c>
      <c r="G38" s="12">
        <f t="shared" si="3"/>
        <v>220</v>
      </c>
      <c r="H38" s="12">
        <v>0.0</v>
      </c>
      <c r="I38" s="12">
        <v>0.0</v>
      </c>
      <c r="J38" s="12">
        <v>0.0</v>
      </c>
      <c r="K38" s="10"/>
    </row>
    <row r="39" ht="15.75" customHeight="1">
      <c r="A39" s="10">
        <v>36.0</v>
      </c>
      <c r="B39" s="11" t="s">
        <v>48</v>
      </c>
      <c r="C39" s="12">
        <v>164.94</v>
      </c>
      <c r="D39" s="12">
        <v>200.0</v>
      </c>
      <c r="E39" s="12">
        <f t="shared" si="1"/>
        <v>364.94</v>
      </c>
      <c r="F39" s="12">
        <f t="shared" si="2"/>
        <v>200</v>
      </c>
      <c r="G39" s="12">
        <f t="shared" si="3"/>
        <v>164.94</v>
      </c>
      <c r="H39" s="12">
        <v>0.0</v>
      </c>
      <c r="I39" s="12">
        <v>793.0</v>
      </c>
      <c r="J39" s="12">
        <f>I39/F39</f>
        <v>3.965</v>
      </c>
      <c r="K39" s="10"/>
    </row>
    <row r="40" ht="15.75" customHeight="1">
      <c r="A40" s="10">
        <v>37.0</v>
      </c>
      <c r="B40" s="11" t="s">
        <v>49</v>
      </c>
      <c r="C40" s="12">
        <v>85.0</v>
      </c>
      <c r="D40" s="12">
        <v>0.0</v>
      </c>
      <c r="E40" s="12">
        <f t="shared" si="1"/>
        <v>85</v>
      </c>
      <c r="F40" s="12">
        <f t="shared" si="2"/>
        <v>0</v>
      </c>
      <c r="G40" s="12">
        <f t="shared" si="3"/>
        <v>85</v>
      </c>
      <c r="H40" s="12">
        <v>0.0</v>
      </c>
      <c r="I40" s="12">
        <v>0.0</v>
      </c>
      <c r="J40" s="12">
        <v>0.0</v>
      </c>
      <c r="K40" s="10"/>
    </row>
    <row r="41" ht="15.75" customHeight="1">
      <c r="A41" s="16" t="s">
        <v>50</v>
      </c>
      <c r="B41" s="3"/>
      <c r="C41" s="17">
        <f t="shared" ref="C41:G41" si="9">SUM(C4:C40)</f>
        <v>3162.62</v>
      </c>
      <c r="D41" s="17">
        <f t="shared" si="9"/>
        <v>24491.22</v>
      </c>
      <c r="E41" s="17">
        <f t="shared" si="9"/>
        <v>27653.84</v>
      </c>
      <c r="F41" s="17">
        <f t="shared" si="9"/>
        <v>24491.22</v>
      </c>
      <c r="G41" s="17">
        <f t="shared" si="9"/>
        <v>3162.62</v>
      </c>
      <c r="H41" s="11"/>
      <c r="I41" s="11"/>
      <c r="J41" s="11"/>
      <c r="K41" s="1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G2"/>
    <mergeCell ref="A41:B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